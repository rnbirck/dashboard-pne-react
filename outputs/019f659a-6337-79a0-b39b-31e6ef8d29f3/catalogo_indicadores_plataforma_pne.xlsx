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nbirck\PROJETOS\DASHBOARD-PNE-REACT\outputs\019f659a-6337-79a0-b39b-31e6ef8d29f3\"/>
    </mc:Choice>
  </mc:AlternateContent>
  <xr:revisionPtr revIDLastSave="0" documentId="13_ncr:1_{ABD4D893-7A89-4636-86A6-C565AD2DFCB1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NEs" sheetId="1" r:id="rId1"/>
    <sheet name="Indicadores Educacionais" sheetId="2" r:id="rId2"/>
    <sheet name="Financiament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3" l="1"/>
  <c r="L2" i="2"/>
  <c r="M2" i="1"/>
</calcChain>
</file>

<file path=xl/sharedStrings.xml><?xml version="1.0" encoding="utf-8"?>
<sst xmlns="http://schemas.openxmlformats.org/spreadsheetml/2006/main" count="2250" uniqueCount="841">
  <si>
    <t>Catálogo de indicadores — PNEs</t>
  </si>
  <si>
    <t>Inventário dos indicadores exibidos nos ciclos PNE 2014–2024 e PNE 2026–2036, incluindo metas, construção e dados de apoio.</t>
  </si>
  <si>
    <t>Total de indicadores</t>
  </si>
  <si>
    <t>Períodos refletem a cobertura observada nos arquivos atuais da plataforma e podem variar por município. “Sem série disponível” não significa valor zero.</t>
  </si>
  <si>
    <t>Aba / ciclo / módulo</t>
  </si>
  <si>
    <t>Seção / categoria</t>
  </si>
  <si>
    <t>Tipo</t>
  </si>
  <si>
    <t>Código</t>
  </si>
  <si>
    <t>Indicador</t>
  </si>
  <si>
    <t>Descrição</t>
  </si>
  <si>
    <t>Meta relacionada</t>
  </si>
  <si>
    <t>Texto / referência da meta</t>
  </si>
  <si>
    <t>Como foi construído</t>
  </si>
  <si>
    <t>Período de análise</t>
  </si>
  <si>
    <t>Indicadores / dados de apoio da meta</t>
  </si>
  <si>
    <t>Período dos dados de apoio</t>
  </si>
  <si>
    <t>Fonte</t>
  </si>
  <si>
    <t>URL oficial</t>
  </si>
  <si>
    <t>Observações</t>
  </si>
  <si>
    <t>PNE 2014-2024</t>
  </si>
  <si>
    <t>Atendimento Escolar</t>
  </si>
  <si>
    <t>Indicador de acompanhamento do PNE</t>
  </si>
  <si>
    <t>População de 0 a 3 anos que frequenta a escola/creche</t>
  </si>
  <si>
    <t>Percentual da população de 0 a 3 anos que frequenta a escola ou creche.</t>
  </si>
  <si>
    <t>Meta 1 — Educação Infantil</t>
  </si>
  <si>
    <t>Acompanhar o atendimento em creche e pré-escola no município.</t>
  </si>
  <si>
    <t>Percentual da população de 0 a 3 anos que frequenta a escola ou creche. Memória de cálculo exibida: Matrículas em creche ÷ População de 0 a 3 anos × 100. Nota metodológica: Cobertura estimada; valores acima de 100% podem ocorrer por estimativas populacionais, mobilidade escolar e oferta localizada no município.</t>
  </si>
  <si>
    <t>2014–2024</t>
  </si>
  <si>
    <t>• Histórico de matrículas — Matrículas em creche
• Dependência administrativa (federal, estadual, municipal e privada, conforme disponibilidade)
• Dados usados no cálculo — Matrículas em creche e População de 0 a 3 anos</t>
  </si>
  <si>
    <t>Censo Escolar — INEP; Estimativas Populacionais — IBGE</t>
  </si>
  <si>
    <t>https://www.gov.br/inep/pt-br/areas-de-atuacao/pesquisas-estatisticas-e-indicadores/censo-escolar
https://www.ibge.gov.br/estatisticas/sociais/populacao/9103-estimativas-de-populacao.html</t>
  </si>
  <si>
    <t>Na aba de dependência administrativa, a plataforma também pode exibir o recorte de rede privada conveniada sob responsabilidade municipal; disponível desde 2025. Cobertura estimada; valores acima de 100% podem ocorrer por estimativas populacionais, mobilidade escolar e oferta localizada no município.</t>
  </si>
  <si>
    <t>População de 4 a 5 anos que frequenta a escola/creche</t>
  </si>
  <si>
    <t>Percentual da população de 4 a 5 anos que frequenta a escola ou creche.</t>
  </si>
  <si>
    <t>Percentual da população de 4 a 5 anos que frequenta a escola ou creche. Memória de cálculo exibida: Matrículas na pré-escola ÷ População de 4 a 5 anos × 100. Nota metodológica: Cobertura estimada; valores acima de 100% podem ocorrer por estimativas populacionais, mobilidade escolar e oferta localizada no município.</t>
  </si>
  <si>
    <t>• Histórico de matrículas — Matrículas na pré-escola
• Dependência administrativa (federal, estadual, municipal e privada, conforme disponibilidade)
• Dados usados no cálculo — Matrículas na pré-escola e População de 4 a 5 anos</t>
  </si>
  <si>
    <t>População de 6 a 17 anos que frequenta a educação básica</t>
  </si>
  <si>
    <t>Percentual da população de 6 a 17 anos que frequenta a educação básica.</t>
  </si>
  <si>
    <t>Meta 2 — Ensino Fundamental</t>
  </si>
  <si>
    <t>Acompanhar o acesso e a conclusão do ensino fundamental.</t>
  </si>
  <si>
    <t>Percentual da população de 6 a 17 anos que frequenta a educação básica. Memória de cálculo exibida: Matrículas de 6 a 17 anos na educação básica ÷ População de 6 a 17 anos × 100. Nota metodológica: Cobertura estimada; valores acima de 100% podem ocorrer por estimativas populacionais, mobilidade escolar e oferta localizada no município.</t>
  </si>
  <si>
    <t>• Histórico de matrículas — Matrículas na educação básica — 6 a 17 anos
• Dependência administrativa (federal, estadual, municipal e privada, conforme disponibilidade)
• Dados usados no cálculo — Matrículas de 6 a 17 anos na educação básica e População de 6 a 17 anos</t>
  </si>
  <si>
    <t>População de 15 a 17 anos que frequenta a escola ou já concluiu a educação básica</t>
  </si>
  <si>
    <t>Percentual da população de 15 a 17 anos que frequenta a escola ou já concluiu a educação básica.</t>
  </si>
  <si>
    <t>Meta 3 — Ensino Médio</t>
  </si>
  <si>
    <t>Acompanhar o acesso e a conclusão do ensino médio.</t>
  </si>
  <si>
    <t>Percentual da população de 15 a 17 anos que frequenta a escola ou já concluiu a educação básica. Memória de cálculo exibida: Matrículas de 15 a 17 anos na educação básica ÷ População de 15 a 17 anos × 100. Nota metodológica: Cobertura estimada; valores acima de 100% podem ocorrer por estimativas populacionais, mobilidade escolar e oferta localizada no município.</t>
  </si>
  <si>
    <t>• Histórico de matrículas — Matrículas na educação básica — 15 a 17 anos
• Dependência administrativa (federal, estadual, municipal e privada, conforme disponibilidade)
• Dados usados no cálculo — Matrículas de 15 a 17 anos na educação básica e População de 15 a 17 anos</t>
  </si>
  <si>
    <t>Alunos do público-alvo da ETI em jornada integral na rede pública</t>
  </si>
  <si>
    <t>Percentual de alunos da educação básica pública que pertencem ao público-alvo da Educação em Tempo Integral (ETI) e estão em jornada de tempo integral.</t>
  </si>
  <si>
    <t>Meta 6 — Educação em Tempo Integral</t>
  </si>
  <si>
    <t>Acompanhar a oferta de educação em tempo integral.</t>
  </si>
  <si>
    <t>Percentual de alunos da educação básica pública que pertencem ao público-alvo da Educação em Tempo Integral (ETI) e estão em jornada de tempo integral. Memória de cálculo exibida: Matrículas em tempo integral ÷ Total de matrículas da educação básica pública × 100.</t>
  </si>
  <si>
    <t>• Histórico de matrículas — Matrículas em tempo integral na educação básica pública
• Dependência administrativa (federal, estadual, municipal e privada, conforme disponibilidade)
• Dados usados no cálculo — Matrículas em tempo integral e Total de matrículas da educação básica pública</t>
  </si>
  <si>
    <t>Censo Escolar / Sinopse Estatística da Educação Básica — INEP</t>
  </si>
  <si>
    <t>https://www.gov.br/inep/pt-br/areas-de-atuacao/pesquisas-estatisticas-e-indicadores/censo-escolar</t>
  </si>
  <si>
    <t>Na aba de dependência administrativa, a plataforma também pode exibir o recorte de rede privada conveniada sob responsabilidade municipal; disponível desde 2025.</t>
  </si>
  <si>
    <t>Escolas públicas com alunos em jornada de tempo integral</t>
  </si>
  <si>
    <t>Percentual de escolas públicas da educação básica que possuem, pelo menos, 25% dos alunos da educação básica em jornada integral.</t>
  </si>
  <si>
    <t>Percentual de escolas públicas da educação básica que possuem, pelo menos, 25% dos alunos da educação básica em jornada integral. Memória de cálculo exibida: Escolas públicas com jornada em tempo integral ÷ Total de escolas públicas × 100.</t>
  </si>
  <si>
    <t>• Histórico de matrículas — Escolas públicas com alunos em jornada de tempo integral
• Dependência administrativa (federal, estadual, municipal e privada, conforme disponibilidade)
• Dados usados no cálculo — Escolas públicas com jornada em tempo integral e Total de escolas públicas</t>
  </si>
  <si>
    <t>Percentual das matrículas da EJA articuladas à educação profissional</t>
  </si>
  <si>
    <t>Percentual das matrículas da EJA articuladas à educação profissional no município.</t>
  </si>
  <si>
    <t>Meta 10 — EJA Integrada à Educação Profissional</t>
  </si>
  <si>
    <t>Acompanhar a oferta de EJA integrada à educação profissional.</t>
  </si>
  <si>
    <t>Percentual das matrículas da EJA articuladas à educação profissional no município. Memória de cálculo exibida: Curso técnico integrado à EJA + FIC integrado à EJA fundamental + FIC integrado à EJA médio ÷ Matrículas da EJA fundamental + matrículas da EJA médio × 100. Nota metodológica: indicador calculado a partir das matrículas da EJA articuladas à educação profissional, considerando curso técnico integrado à EJA, FIC integrado à EJA de nível fundamental, FIC integrado à EJA de nível médio e o total de matrículas da EJA.</t>
  </si>
  <si>
    <t>• Histórico das matrículas da EJA articuladas à educação profissional
• Dados usados no cálculo — Curso técnico integrado à EJA + FIC integrado à EJA fundamental + FIC integrado à EJA médio e Matrículas da EJA fundamental + matrículas da EJA médio</t>
  </si>
  <si>
    <t>INEP — Sinopse Estatística da Educação Básica.</t>
  </si>
  <si>
    <t>Indicador informativo / contextual</t>
  </si>
  <si>
    <t>Número absoluto de matrículas em EPT de nível médio</t>
  </si>
  <si>
    <t>Evolução do número absoluto de matrículas da Educação Profissional e Tecnológica de nível médio no município, entre 2014 e 2024.</t>
  </si>
  <si>
    <t>Meta 11 — Educação Profissional Técnica de Nível Médio</t>
  </si>
  <si>
    <t>Acompanhar a educação profissional técnica de nível médio.</t>
  </si>
  <si>
    <t>• Histórico de matrículas — Número absoluto de matrículas em EPT de nível médio
• Dependência administrativa (federal, estadual, municipal e privada, conforme disponibilidade)</t>
  </si>
  <si>
    <t>Na aba de dependência administrativa, a plataforma também pode exibir o recorte de rede privada conveniada sob responsabilidade municipal; disponível desde 2025. Visualização informativa/contextual; não representa, isoladamente, cumprimento de meta legal.</t>
  </si>
  <si>
    <t>Participação acumulada do segmento público na expansão da EPT de nível médio</t>
  </si>
  <si>
    <t>Participação acumulada do segmento público nas expansões anuais positivas da Educação Profissional e Tecnológica de nível médio no município, com base na evolução observada até 2024.</t>
  </si>
  <si>
    <t>Participação acumulada do segmento público nas expansões anuais positivas da Educação Profissional e Tecnológica de nível médio no município, com base na evolução observada até 2024. Memória de cálculo exibida: Matrículas em EPT de nível médio - público ÷ Total de matrículas em EPT de nível médio × 100.</t>
  </si>
  <si>
    <t>• Histórico de matrículas — Participação acumulada do segmento público na expansão da EPT de nível médio
• Dependência administrativa (federal, estadual, municipal e privada, conforme disponibilidade)
• Dados usados no cálculo — Matrículas em EPT de nível médio - público e Total de matrículas em EPT de nível médio</t>
  </si>
  <si>
    <t>Expansão acumulada da EPT de médio público</t>
  </si>
  <si>
    <t>Número de matrículas acumuladas da Educação Profissional e Tecnológica de médio público, a partir de 2013.</t>
  </si>
  <si>
    <t>Número de matrículas acumuladas da Educação Profissional e Tecnológica de médio público, a partir de 2013. Memória de cálculo exibida: Matriculas do ensino medio integradas a educacao profissional tecnica ÷ Total de matriculas do ensino medio × 100.</t>
  </si>
  <si>
    <t>2013–2024</t>
  </si>
  <si>
    <t>• Histórico de matrículas — Matriculas do ensino medio integradas a educacao profissional tecnica</t>
  </si>
  <si>
    <t>Visualização informativa/contextual; não representa, isoladamente, cumprimento de meta legal.</t>
  </si>
  <si>
    <t>Rendimento Escolar</t>
  </si>
  <si>
    <t>Estudantes alfabetizados na rede pública</t>
  </si>
  <si>
    <t>Percentual de estudantes alfabetizados na rede pública do município.</t>
  </si>
  <si>
    <t>Meta 5 — Alfabetização</t>
  </si>
  <si>
    <t>Acompanhar a alfabetização das crianças nos anos iniciais.</t>
  </si>
  <si>
    <t>Sem série disponível na base atual</t>
  </si>
  <si>
    <t>Nenhum apoio adicional exibido na base atual</t>
  </si>
  <si>
    <t>Não se aplica</t>
  </si>
  <si>
    <t>https://www.gov.br/inep/pt-br/areas-de-atuacao/avaliacao-e-exames-educacionais/saeb/resultados</t>
  </si>
  <si>
    <t>IDEB da rede pública nos anos iniciais do ensino fundamental</t>
  </si>
  <si>
    <t>Resultado do IDEB da rede pública nos anos iniciais do ensino fundamental.</t>
  </si>
  <si>
    <t>Meta 7 — Qualidade da Educação Básica</t>
  </si>
  <si>
    <t>Acompanhar a qualidade da educação básica por meio dos indicadores de aprendizagem e fluxo.</t>
  </si>
  <si>
    <t>Resultado do IDEB da rede pública nos anos iniciais do ensino fundamental. Nota metodológica: SAEB/IDEB não é indicador anual; resultados por disciplina e etapa são leitura parcial da meta legal, não cumprimento integral.</t>
  </si>
  <si>
    <t>2013, 2015, 2017, 2019, 2021, 2023</t>
  </si>
  <si>
    <t>IDEB / SAEB — INEP</t>
  </si>
  <si>
    <t>IDEB da rede pública nos anos finais do ensino fundamental</t>
  </si>
  <si>
    <t>Resultado do IDEB da rede pública nos anos finais do ensino fundamental.</t>
  </si>
  <si>
    <t>Resultado do IDEB da rede pública nos anos finais do ensino fundamental. Nota metodológica: SAEB/IDEB não é indicador anual; resultados por disciplina e etapa são leitura parcial da meta legal, não cumprimento integral.</t>
  </si>
  <si>
    <t>IDEB da rede pública no ensino médio</t>
  </si>
  <si>
    <t>Resultado do IDEB da rede pública no ensino médio.</t>
  </si>
  <si>
    <t>Resultado do IDEB da rede pública no ensino médio. Nota metodológica: SAEB/IDEB não é indicador anual; resultados por disciplina e etapa são leitura parcial da meta legal, não cumprimento integral.</t>
  </si>
  <si>
    <t>2017, 2019, 2021, 2023</t>
  </si>
  <si>
    <t>Corpo Docente</t>
  </si>
  <si>
    <t>Docentes com formação adequada nos anos iniciais</t>
  </si>
  <si>
    <t>Percentual de docentes com formação adequada nos anos iniciais do ensino fundamental.</t>
  </si>
  <si>
    <t>Meta 15 — Formação de Professores</t>
  </si>
  <si>
    <t>Acompanhar a formação adequada dos docentes da educação básica.</t>
  </si>
  <si>
    <t>• Histórico de matrículas — Docentes com formacao adequada nos anos iniciais
• Dependência administrativa (federal, estadual, municipal e privada, conforme disponibilidade)</t>
  </si>
  <si>
    <t>Docentes com formação adequada nos anos finais</t>
  </si>
  <si>
    <t>Percentual de docentes com formação adequada nos anos finais do ensino fundamental.</t>
  </si>
  <si>
    <t>• Histórico de matrículas — Docentes com formacao adequada nos anos finais
• Dependência administrativa (federal, estadual, municipal e privada, conforme disponibilidade)</t>
  </si>
  <si>
    <t>Docentes com formação adequada no ensino médio</t>
  </si>
  <si>
    <t>Percentual de docentes com formação adequada no ensino médio.</t>
  </si>
  <si>
    <t>• Histórico de matrículas — Docentes com formacao adequada no ensino medio
• Dependência administrativa (federal, estadual, municipal e privada, conforme disponibilidade)</t>
  </si>
  <si>
    <t>Docentes da educação básica com pós-graduação</t>
  </si>
  <si>
    <t>Percentual de docentes da educação básica com especialização, mestrado ou doutorado.</t>
  </si>
  <si>
    <t>Meta 16 — Formação Continuada e Pós-Graduação</t>
  </si>
  <si>
    <t>Acompanhar a formação continuada e a pós-graduação dos docentes.</t>
  </si>
  <si>
    <t>Percentual de docentes da educação básica com especialização, mestrado ou doutorado. Memória de cálculo exibida: Docentes com pos-graduacao ÷ Total de docentes × 100. Nota metodológica: Dado bruto preservado; há pontos históricos acima de 100% em poucos municípios, exigindo revisão humana de fonte/denominador.</t>
  </si>
  <si>
    <t>• Histórico de matrículas — Docentes da educacao basica com pos-graduacao
• Dados usados no cálculo — Docentes com pos-graduacao e Total de docentes</t>
  </si>
  <si>
    <t>Rendimento do magistério em relação a outros profissionais com nível superior</t>
  </si>
  <si>
    <t>Relação percentual entre o rendimento bruto médio mensal dos profissionais do magistério da educação básica, com nível superior completo, e o rendimento bruto médio mensal dos demais profissionais assalariados, com nível superior completo.</t>
  </si>
  <si>
    <t>Meta 17 — Valorização do Magistério</t>
  </si>
  <si>
    <t>Acompanhar a valorização do magistério por meio do rendimento médio dos docentes.</t>
  </si>
  <si>
    <t>Fonte não explicitada para este indicador</t>
  </si>
  <si>
    <t>https://www.gov.br/inep/pt-br/acesso-a-informacao/dados-abertos/indicadores-educacionais</t>
  </si>
  <si>
    <t>Escolaridade da População</t>
  </si>
  <si>
    <t>População de 15 anos ou mais alfabetizada</t>
  </si>
  <si>
    <t>Percentual da população de 15 anos ou mais de idade alfabetizada no município, com base nos Censos Demográficos.</t>
  </si>
  <si>
    <t>Meta 9 — Alfabetização de Jovens e Adultos</t>
  </si>
  <si>
    <t>Acompanhar a alfabetização da população de 15 anos ou mais.</t>
  </si>
  <si>
    <t>Percentual da população de 15 anos ou mais de idade alfabetizada no município, com base nos Censos Demográficos. Memória de cálculo exibida: Pessoas de 15 anos ou mais alfabetizadas ÷ População de 15 anos ou mais × 100. Nota metodológica: Censo Demográfico e linha censitária, não série anual municipal.</t>
  </si>
  <si>
    <t>2010, 2022</t>
  </si>
  <si>
    <t>• Histórico — Pessoas de 15 anos ou mais alfabetizadas
• Dados usados no cálculo — Pessoas de 15 anos ou mais alfabetizadas e População de 15 anos ou mais</t>
  </si>
  <si>
    <t>Censo Demográfico — IBGE</t>
  </si>
  <si>
    <t>https://www.ibge.gov.br/estatisticas/sociais/saude/22827-censo-demografico-2022.html</t>
  </si>
  <si>
    <t>Indicador censitário; não constitui série anual municipal.</t>
  </si>
  <si>
    <t>População de 15 a 17 anos que frequenta o ensino médio ou concluiu a educação básica</t>
  </si>
  <si>
    <t>Percentual da população de 15 a 17 anos que frequenta o ensino médio ou possui educação básica completa, com base nos Censos Demográficos.</t>
  </si>
  <si>
    <t>Percentual da população de 15 a 17 anos que frequenta o ensino médio ou possui educação básica completa, com base nos Censos Demográficos. Memória de cálculo exibida: População de 15 a 17 anos com ensino médio ou educação básica completa ÷ População de 15 a 17 anos × 100. Nota metodológica: Censo Demográfico e linha censitária, não série anual municipal.</t>
  </si>
  <si>
    <t>• Histórico — População de 15 a 17 anos com ensino médio ou educação básica completa
• Dados usados no cálculo — População de 15 a 17 anos com ensino médio ou educação básica completa e População de 15 a 17 anos</t>
  </si>
  <si>
    <t>População de 6 a 14 anos que frequenta ou concluiu o ensino fundamental</t>
  </si>
  <si>
    <t>Percentual de pessoas de 6 a 14 anos que frequentam ou que já concluíram o ensino fundamental, com base nos Censos Demográficos.</t>
  </si>
  <si>
    <t>Percentual de pessoas de 6 a 14 anos que frequentam ou que já concluíram o ensino fundamental, com base nos Censos Demográficos. Memória de cálculo exibida: População de 6 a 14 anos no ensino fundamental ou com fundamental completo ÷ População de 6 a 14 anos × 100. Nota metodológica: Censo Demográfico e linha censitária, não série anual municipal.</t>
  </si>
  <si>
    <t>• Histórico — População de 6 a 14 anos no ensino fundamental ou com fundamental completo
• Dados usados no cálculo — População de 6 a 14 anos no ensino fundamental ou com fundamental completo e População de 6 a 14 anos</t>
  </si>
  <si>
    <t>Escolaridade média da população de 18 a 29 anos</t>
  </si>
  <si>
    <t>Escolaridade média, em anos de estudo, da população de 18 a 29 anos de idade no município.</t>
  </si>
  <si>
    <t>Meta 8 — Escolaridade da População</t>
  </si>
  <si>
    <t>Acompanhar a escolaridade média da população.</t>
  </si>
  <si>
    <t>Escolaridade média, em anos de estudo, da população de 18 a 29 anos de idade no município. Nota metodológica: Censo Demográfico e linha censitária, não série anual municipal.</t>
  </si>
  <si>
    <t>2022</t>
  </si>
  <si>
    <t>• Histórico — Escolaridade média da população de 18 a 29 anos</t>
  </si>
  <si>
    <t>Razão entre escolaridade média de negros e não negros de 18 a 29 anos</t>
  </si>
  <si>
    <t>Razão percentual entre a escolaridade média de negros e não negros na faixa etária de 18 a 29 anos no município.</t>
  </si>
  <si>
    <t>Razão percentual entre a escolaridade média de negros e não negros na faixa etária de 18 a 29 anos no município. Memória de cálculo exibida: Média de anos de estudo da população negra de 18 a 29 anos ÷ Média de anos de estudo da população não negra de 18 a 29 anos × 100. Nota metodológica: Censo Demográfico e linha censitária, não série anual municipal.</t>
  </si>
  <si>
    <t>• Histórico — Razão entre escolaridade média de negros e não negros de 18 a 29 anos
• Dados usados no cálculo — Média de anos de estudo da população negra de 18 a 29 anos e Média de anos de estudo da população não negra de 18 a 29 anos</t>
  </si>
  <si>
    <t>PNE 2026-2036</t>
  </si>
  <si>
    <t>Meta 1.a — Creche</t>
  </si>
  <si>
    <t>Ampliar a oferta de educação infantil para atender 100% (cem por cento) da demanda manifesta por creche e, em nível nacional, atingir, no mínimo, 60% (sessenta por cento) das crianças de até 3 (três) anos ao final da vigência deste Plano Nacional de Educação (PNE).</t>
  </si>
  <si>
    <t>2015–2025</t>
  </si>
  <si>
    <t>• Histórico de matrículas — Matrículas em creche
• Dependência administrativa (federal, estadual, municipal e privada, conforme disponibilidade)
• Dados usados no cálculo — Matrículas em creche e População de 0 a 3 anos
• Projeção tendencial (estimativa para planejamento)</t>
  </si>
  <si>
    <t>https://www.gov.br/inep/pt-br/areas-de-atuacao/pesquisas-estatisticas-e-indicadores/censo-escolar
https://www.ibge.gov.br/estatisticas/sociais/populacao/9103-estimativas-de-populacao.html
https://www.planalto.gov.br/ccivil_03/_ato2023-2026/2026/lei/l15388.htm</t>
  </si>
  <si>
    <t>Na aba de dependência administrativa, a plataforma também pode exibir o recorte de rede privada conveniada sob responsabilidade municipal; disponível desde 2025. Cobertura estimada; valores acima de 100% podem ocorrer por estimativas populacionais, mobilidade escolar e oferta localizada no município. Projeção: Tendencia suavizada com limite plausivel por indicador para reduzir extrapolacoes excessivas.</t>
  </si>
  <si>
    <t>Meta 1.c — Pré-escola</t>
  </si>
  <si>
    <t>Universalizar, até o segundo ano do período de vigência deste PNE, o acesso à educação infantil na pré-escola, para atender a todas as crianças de 4 (quatro) a 5 (cinco) anos.</t>
  </si>
  <si>
    <t>• Histórico de matrículas — Matrículas na pré-escola
• Dependência administrativa (federal, estadual, municipal e privada, conforme disponibilidade)
• Dados usados no cálculo — Matrículas na pré-escola e População de 4 a 5 anos
• Projeção tendencial (estimativa para planejamento)</t>
  </si>
  <si>
    <t>Meta 4.a — Acesso escolar 6 a 17 anos</t>
  </si>
  <si>
    <t>Universalizar, até o terceiro ano de vigência deste PNE, o acesso à escola para toda a população de 6 (seis) a 17 (dezessete) anos de idade.</t>
  </si>
  <si>
    <t>• Histórico de matrículas — Matrículas na educação básica — 6 a 17 anos
• Dependência administrativa (federal, estadual, municipal e privada, conforme disponibilidade)
• Dados usados no cálculo — Matrículas de 6 a 17 anos na educação básica e População de 6 a 17 anos
• Projeção tendencial (estimativa para planejamento)</t>
  </si>
  <si>
    <t>• Histórico de matrículas — Matrículas na educação básica — 15 a 17 anos
• Dependência administrativa (federal, estadual, municipal e privada, conforme disponibilidade)
• Dados usados no cálculo — Matrículas de 15 a 17 anos na educação básica e População de 15 a 17 anos
• Projeção tendencial (estimativa para planejamento)</t>
  </si>
  <si>
    <t>Meta 6.a — Tempo integral</t>
  </si>
  <si>
    <t>Garantir a oferta de matrículas em tempo integral, na perspectiva da educação integral, com jornada mínima de 7 (sete) horas diárias ou 35 (trinta e cinco) horas semanais, preferencialmente em turno único, em, no mínimo, 50% (cinquenta por cento) das escolas públicas, de forma a atender, pelo menos, 35% (trinta e cinco por cento) dos estudantes da educação básica até o quinto ano de vigência deste PNE, e em, no mínimo, 65% (sessenta e cinco por cento) das escolas públicas, de forma a atender, pelo menos, 50% (cinquenta por cento) dos estudantes da educação básica até o final da vigência deste PNE.</t>
  </si>
  <si>
    <t>https://www.gov.br/inep/pt-br/areas-de-atuacao/pesquisas-estatisticas-e-indicadores/censo-escolar
https://www.planalto.gov.br/ccivil_03/_ato2023-2026/2026/lei/l15388.htm</t>
  </si>
  <si>
    <t>Percentual de escolas públicas da educação básica que possuem, pelo menos, 25% dos alunos em jornada integral.</t>
  </si>
  <si>
    <t>Percentual de escolas públicas da educação básica que possuem, pelo menos, 25% dos alunos em jornada integral. Memória de cálculo exibida: Escolas públicas com jornada em tempo integral ÷ Total de escolas públicas × 100.</t>
  </si>
  <si>
    <t>Oferta de AEE e salas de recursos na educação especial</t>
  </si>
  <si>
    <t>Participação das turmas ou salas de AEE em relação ao total da educação especial no município.</t>
  </si>
  <si>
    <t>Sem meta específica associada na plataforma</t>
  </si>
  <si>
    <t>Participação das turmas ou salas de AEE em relação ao total da educação especial no município. Memória de cálculo exibida: Turmas de Atendimento Educacional Especializado ÷ Total de turmas de educação especial × 100. Nota metodológica: Indicador de contexto/proxy; a base aberta atual não oferece denominador municipal seguro para medir diretamente o público-alvo do AEE.</t>
  </si>
  <si>
    <t>• Histórico de matrículas — Oferta de AEE na educação especial
• Dados usados no cálculo — Turmas de Atendimento Educacional Especializado e Total de turmas de educação especial</t>
  </si>
  <si>
    <t>Ensino médio articulado à educação profissional técnica</t>
  </si>
  <si>
    <t>Percentual das matrículas em cursos técnicos integrados em relação ao total de matrículas do ensino médio.</t>
  </si>
  <si>
    <t>Meta 12.a — Educação profissional técnica de nível médio</t>
  </si>
  <si>
    <t>Expandir as matrículas da educação profissional técnica de nível médio, integrada ou concomitante, de modo a atingir 50% (cinquenta por cento) dos estudantes matriculados no ensino médio, assegurando a qualidade da oferta e a permanência do estudante, observados, no mínimo, 50% (cinquenta por cento) da expansão no segmento público até o final da vigência deste PNE e, no caso da rede federal, pelo menos metade dessa expansão ofertada na forma integrada.</t>
  </si>
  <si>
    <t>Percentual das matrículas em cursos técnicos integrados em relação ao total de matrículas do ensino médio. Memória de cálculo exibida: Matrículas em cursos técnicos integrados ÷ Total de matrículas do ensino médio × 100. Nota metodológica: Indicador calculado pela relação entre as matrículas em cursos técnicos integrados ao ensino médio e o total de matrículas do ensino médio. As matrículas concomitantes permanecem apresentadas no aprofundamento como informação complementar.</t>
  </si>
  <si>
    <t>• Matrículas integradas
• Matrículas concomitantes
• Matrículas articuladas
• Dados usados no cálculo — Matrículas em cursos técnicos integrados e Total de matrículas do ensino médio</t>
  </si>
  <si>
    <t>Indicador aproximado: considera cursos técnicos integrados; matrículas concomitantes aparecem somente no aprofundamento.</t>
  </si>
  <si>
    <t>Participação acumulada do segmento público nas expansões anuais positivas das matrículas da Educação Profissional e Tecnológica de nível médio no município, considerando a evolução de 2015 até o ano analisado.</t>
  </si>
  <si>
    <t>Participação acumulada do segmento público nas expansões anuais positivas das matrículas da Educação Profissional e Tecnológica de nível médio no município, considerando a evolução de 2015 até o ano analisado. Memória de cálculo exibida: Matrículas em EPT de nível médio - público ÷ Total de matrículas em EPT de nível médio × 100.</t>
  </si>
  <si>
    <t>2016–2025</t>
  </si>
  <si>
    <t>Expansão acumulada das matrículas em cursos técnicos subsequentes</t>
  </si>
  <si>
    <t>Expansão acumulada das matrículas nos cursos técnicos subsequentes da Educação Profissional e Tecnológica de nível médio no município, considerando a evolução a partir de 2015.</t>
  </si>
  <si>
    <t>Meta 12.b — Cursos subsequentes</t>
  </si>
  <si>
    <t>Expandir em, no mínimo, 60% (sessenta por cento) as matrículas nos cursos subsequentes, de forma a assegurar a qualidade da oferta e a permanência dos estudantes.</t>
  </si>
  <si>
    <t>2013–2025</t>
  </si>
  <si>
    <t>• Histórico de matrículas — Expansão acumulada das matrículas em cursos técnicos subsequentes
• Dependência administrativa (federal, estadual, municipal e privada, conforme disponibilidade)</t>
  </si>
  <si>
    <t>Meta 3.a — Alfabetização ao final do 2º ano</t>
  </si>
  <si>
    <t>Assegurar que, no mínimo, 80% (oitenta por cento) das crianças estejam alfabetizadas ao final do segundo ano do ensino fundamental, até o quinto ano de vigência deste PNE, e que todas as crianças estejam alfabetizadas ao final do segundo ano do ensino fundamental, até o final do decênio.</t>
  </si>
  <si>
    <t>https://www.gov.br/inep/pt-br/areas-de-atuacao/avaliacao-e-exames-educacionais/saeb/resultados
https://www.planalto.gov.br/ccivil_03/_ato2023-2026/2026/lei/l15388.htm</t>
  </si>
  <si>
    <t>Desempenho em Matemática - anos iniciais</t>
  </si>
  <si>
    <t>Percentual de estudantes nos níveis básico ou superior e adequado ou superior em Matemática - anos iniciais.</t>
  </si>
  <si>
    <t>Meta 5.a — Aprendizagem nos anos iniciais</t>
  </si>
  <si>
    <t>Assegurar que 100% (cem por cento) dos estudantes, ao término dos anos iniciais do ensino fundamental, alcancem o nível básico de aprendizagem, com pelo menos 70% (setenta por cento) deles no nível adequado de aprendizagem, até o quinto ano de vigência deste PNE, e 90% (noventa por cento) deles no nível adequado de aprendizagem, até o final do decênio.</t>
  </si>
  <si>
    <t>Percentual de estudantes nos níveis básico ou superior e adequado ou superior em Matemática - anos iniciais. Nota metodológica: SAEB/IDEB não é indicador anual; resultados por disciplina e etapa são leitura parcial da meta legal, não cumprimento integral.</t>
  </si>
  <si>
    <t>Desempenho em Matemática - anos finais</t>
  </si>
  <si>
    <t>Percentual de estudantes nos níveis básico ou superior e adequado ou superior em Matemática - anos finais.</t>
  </si>
  <si>
    <t>Meta 5.b — Aprendizagem nos anos finais</t>
  </si>
  <si>
    <t>Assegurar que 100% (cem por cento) dos estudantes, ao término dos anos finais do ensino fundamental, alcancem o nível básico de aprendizagem, com pelo menos 60% (sessenta por cento) deles no nível adequado de aprendizagem, até o quinto ano de vigência deste PNE, e 85% (oitenta e cinco por cento) deles no nível adequado de aprendizagem, até o final do decênio.</t>
  </si>
  <si>
    <t>Percentual de estudantes nos níveis básico ou superior e adequado ou superior em Matemática - anos finais. Nota metodológica: SAEB/IDEB não é indicador anual; resultados por disciplina e etapa são leitura parcial da meta legal, não cumprimento integral.</t>
  </si>
  <si>
    <t>Desempenho em Matemática - ensino médio</t>
  </si>
  <si>
    <t>Percentual de estudantes nos níveis básico ou superior e adequado ou superior em Matemática - ensino médio.</t>
  </si>
  <si>
    <t>Meta 5.d — Aprendizagem no ensino médio</t>
  </si>
  <si>
    <t>Assegurar que 100% (cem por cento) dos estudantes, ao término do ensino médio, alcancem o nível básico de aprendizagem, com pelo menos 50% (cinquenta por cento) deles no nível adequado de aprendizagem, até o quinto ano de vigência deste PNE, e 80% (oitenta por cento) deles no nível adequado de aprendizagem, até o final do decênio.</t>
  </si>
  <si>
    <t>Percentual de estudantes nos níveis básico ou superior e adequado ou superior em Matemática - ensino médio. Nota metodológica: SAEB/IDEB não é indicador anual; resultados por disciplina e etapa são leitura parcial da meta legal, não cumprimento integral.</t>
  </si>
  <si>
    <t>2019, 2021, 2023</t>
  </si>
  <si>
    <t>Desempenho em Português - anos iniciais</t>
  </si>
  <si>
    <t>Percentual de estudantes nos níveis básico ou superior e adequado ou superior em Português - anos iniciais.</t>
  </si>
  <si>
    <t>Percentual de estudantes nos níveis básico ou superior e adequado ou superior em Português - anos iniciais. Nota metodológica: SAEB/IDEB não é indicador anual; resultados por disciplina e etapa são leitura parcial da meta legal, não cumprimento integral.</t>
  </si>
  <si>
    <t>Desempenho em Português - anos finais</t>
  </si>
  <si>
    <t>Percentual de estudantes nos níveis básico ou superior e adequado ou superior em Português - anos finais.</t>
  </si>
  <si>
    <t>Percentual de estudantes nos níveis básico ou superior e adequado ou superior em Português - anos finais. Nota metodológica: SAEB/IDEB não é indicador anual; resultados por disciplina e etapa são leitura parcial da meta legal, não cumprimento integral.</t>
  </si>
  <si>
    <t>Desempenho em Português - ensino médio</t>
  </si>
  <si>
    <t>Percentual de estudantes nos níveis básico ou superior e adequado ou superior em Português - ensino médio.</t>
  </si>
  <si>
    <t>Percentual de estudantes nos níveis básico ou superior e adequado ou superior em Português - ensino médio. Nota metodológica: SAEB/IDEB não é indicador anual; resultados por disciplina e etapa são leitura parcial da meta legal, não cumprimento integral.</t>
  </si>
  <si>
    <t>Estudantes que concluem os anos iniciais na idade regular</t>
  </si>
  <si>
    <t>Percentual de estudantes que concluem os anos iniciais do ensino fundamental na idade adequada.</t>
  </si>
  <si>
    <t>Meta 4.b — Conclusão do 5º ano na idade regular</t>
  </si>
  <si>
    <t>Garantir que todos os estudantes concluam o quinto ano do ensino fundamental na idade regular.</t>
  </si>
  <si>
    <t>2019–2025</t>
  </si>
  <si>
    <t>Indicadores Educacionais — INEP</t>
  </si>
  <si>
    <t>https://www.gov.br/inep/pt-br/acesso-a-informacao/dados-abertos/indicadores-educacionais
https://www.planalto.gov.br/ccivil_03/_ato2023-2026/2026/lei/l15388.htm</t>
  </si>
  <si>
    <t>Estudantes que concluem os anos finais na idade regular</t>
  </si>
  <si>
    <t>Percentual de estudantes que concluem os anos finais do ensino fundamental na idade adequada.</t>
  </si>
  <si>
    <t>Meta 4.c — Conclusão do 9º ano na idade regular</t>
  </si>
  <si>
    <t>Garantir que pelo menos 95% (noventa e cinco por cento) dos estudantes concluam o nono ano do ensino fundamental na idade regular, de modo a promover a equidade e a atenção à diversidade populacional, considerando, pelo menos, os grupos sociais definidos por raça/cor, sexo, nível socioeconômico, região e localização.</t>
  </si>
  <si>
    <t>Estudantes que concluem o ensino médio na idade regular</t>
  </si>
  <si>
    <t>Percentual de estudantes que concluem o ensino médio na idade adequada.</t>
  </si>
  <si>
    <t>Meta 4.d — Conclusão do ensino médio na idade regular</t>
  </si>
  <si>
    <t>Garantir que pelo menos 90% (noventa por cento) dos estudantes concluam o ensino médio na idade regular, de modo a promover a equidade e a atenção à diversidade populacional, considerando, pelo menos, os grupos sociais definidos por raça/cor, sexo, nível socioeconômico, região e localização.</t>
  </si>
  <si>
    <t>Meta 17.a — Formação específica dos docentes</t>
  </si>
  <si>
    <t>Assegurar, até o quinto ano de vigência deste PNE, que todos os docentes da educação básica possuam formação específica em nível superior, obtida em curso de pedagogia para a educação infantil e os anos iniciais do ensino fundamental, e licenciatura nas áreas do conhecimento, nos componentes curriculares ou disciplinas e nas modalidades em que atuam.</t>
  </si>
  <si>
    <t>Meta 17.f — Pós-graduação dos docentes</t>
  </si>
  <si>
    <t>Garantir que 70% (setenta por cento) dos docentes da educação básica concluam cursos de pós-graduação relacionados com a respectiva área de atuação profissional que promovam o aprimoramento da docência, das práticas pedagógicas ou do exercício das demais funções pertinentes ao magistério.</t>
  </si>
  <si>
    <t>Meta 17.b — Rendimento do magistério</t>
  </si>
  <si>
    <t>Valorizar os profissionais do magistério com nível superior das redes públicas de educação básica, com vistas a equiparar o rendimento médio dos profissionais de cada etapa da educação básica ao dos trabalhadores das demais ocupações com requisito de escolaridade equivalente.</t>
  </si>
  <si>
    <t>Docentes da rede pública com contrato temporário</t>
  </si>
  <si>
    <t>Percentual de docentes da rede pública com vínculo temporário.</t>
  </si>
  <si>
    <t>Meta 17.d — Profissionais sem cargo efetivo</t>
  </si>
  <si>
    <t>Reduzir progressivamente o número de profissionais do magistério sem cargo efetivo a no máximo 30% (trinta por cento) em cada rede pública, em consonância com o que estabelece o art. 206, inciso V, da Constituição Federal, até o final do quinto ano de vigência deste PNE.</t>
  </si>
  <si>
    <t>Percentual de docentes da rede pública com vínculo temporário. Memória de cálculo exibida: Docentes temporarios da rede publica ÷ Total de docentes da rede publica × 100.</t>
  </si>
  <si>
    <t>• Histórico de matrículas — Docentes da rede publica com vinculo temporario
• Dependência administrativa (federal, estadual, municipal e privada, conforme disponibilidade)
• Dados usados no cálculo — Docentes temporarios da rede publica e Total de docentes da rede publica</t>
  </si>
  <si>
    <t>Infraestrutura Escolar</t>
  </si>
  <si>
    <t>Escolas da educação básica com acesso à internet</t>
  </si>
  <si>
    <t>Percentual de escolas da educação básica com acesso à internet.</t>
  </si>
  <si>
    <t>Percentual de escolas da educação básica com acesso à internet. Memória de cálculo exibida: Escolas com internet ÷ Total de escolas × 100. Nota metodológica: Indicador de contexto; não gera distância de meta legal por não medir velocidade, qualidade ou uso pedagógico.</t>
  </si>
  <si>
    <t>• Histórico de matrículas — Escolas da educação básica com acesso à internet
• Dependência administrativa (federal, estadual, municipal e privada, conforme disponibilidade)
• Dados usados no cálculo — Escolas com internet e Total de escolas</t>
  </si>
  <si>
    <t>Escolas com internet disponível para os alunos</t>
  </si>
  <si>
    <t>Percentual de escolas com internet disponível para uso dos alunos.</t>
  </si>
  <si>
    <t>Percentual de escolas com internet disponível para uso dos alunos. Memória de cálculo exibida: Escolas com internet para alunos ÷ Total de escolas × 100. Nota metodológica: Indicador de contexto; não gera distância de meta legal por não medir velocidade, qualidade ou uso pedagógico.</t>
  </si>
  <si>
    <t>• Histórico de matrículas — Escolas com internet disponível para os alunos
• Dependência administrativa (federal, estadual, municipal e privada, conforme disponibilidade)
• Dados usados no cálculo — Escolas com internet para alunos e Total de escolas</t>
  </si>
  <si>
    <t>Escolas com internet usada na aprendizagem</t>
  </si>
  <si>
    <t>Percentual de escolas com internet aplicada aos processos de ensino e aprendizagem.</t>
  </si>
  <si>
    <t>Percentual de escolas com internet aplicada aos processos de ensino e aprendizagem. Memória de cálculo exibida: Escolas com internet para aprendizagem ÷ Total de escolas × 100. Nota metodológica: Indicador de contexto; não gera distância de meta legal por não medir velocidade, qualidade ou uso pedagógico.</t>
  </si>
  <si>
    <t>• Histórico de matrículas — Escolas com internet usada na aprendizagem
• Dependência administrativa (federal, estadual, municipal e privada, conforme disponibilidade)
• Dados usados no cálculo — Escolas com internet para aprendizagem e Total de escolas</t>
  </si>
  <si>
    <t>Escolas com internet aberta à comunidade</t>
  </si>
  <si>
    <t>Percentual de escolas com internet aberta ao uso da comunidade.</t>
  </si>
  <si>
    <t>Associação com meta legal pendente no catálogo</t>
  </si>
  <si>
    <t>Percentual de escolas com internet aberta ao uso da comunidade. Memória de cálculo exibida: Escolas com internet para comunidade ÷ Total de escolas × 100. Nota metodológica: Indicador de contexto; não gera distância de meta legal por não medir velocidade, qualidade ou uso pedagógico.</t>
  </si>
  <si>
    <t>• Histórico de matrículas — Escolas com internet aberta à comunidade
• Dependência administrativa (federal, estadual, municipal e privada, conforme disponibilidade)
• Dados usados no cálculo — Escolas com internet para comunidade e Total de escolas</t>
  </si>
  <si>
    <t>Na aba de dependência administrativa, a plataforma também pode exibir o recorte de rede privada conveniada sob responsabilidade municipal; disponível desde 2025. Visualização informativa/contextual; não representa, isoladamente, cumprimento de meta legal. A associação jurídica com uma meta específica ainda não está confirmada no catálogo da plataforma.</t>
  </si>
  <si>
    <t>Escolas com acesso dos alunos à internet por computador</t>
  </si>
  <si>
    <t>Percentual de escolas em que os alunos acessam a internet por computadores da escola.</t>
  </si>
  <si>
    <t>Percentual de escolas em que os alunos acessam a internet por computadores da escola. Memória de cálculo exibida: Escolas com acesso à internet por computador ÷ Total de escolas × 100. Nota metodológica: Indicador de contexto; não gera distância de meta legal por não medir suficiência de equipamentos ou qualidade de conectividade.</t>
  </si>
  <si>
    <t>• Histórico de matrículas — Escolas com acesso dos alunos à internet por computador
• Dependência administrativa (federal, estadual, municipal e privada, conforme disponibilidade)
• Dados usados no cálculo — Escolas com acesso à internet por computador e Total de escolas</t>
  </si>
  <si>
    <t>Escolas com acesso dos alunos à internet por dispositivos pessoais</t>
  </si>
  <si>
    <t>Percentual de escolas em que os alunos acessam a internet por dispositivos pessoais.</t>
  </si>
  <si>
    <t>Percentual de escolas em que os alunos acessam a internet por dispositivos pessoais. Memória de cálculo exibida: Escolas com acesso à internet por dispositivos pessoais ÷ Total de escolas × 100. Nota metodológica: Indicador de contexto; não gera distância de meta legal por depender de dispositivos pessoais e não medir oferta pública universal.</t>
  </si>
  <si>
    <t>• Histórico de matrículas — Escolas com acesso dos alunos à internet por dispositivos pessoais
• Dependência administrativa (federal, estadual, municipal e privada, conforme disponibilidade)
• Dados usados no cálculo — Escolas com acesso à internet por dispositivos pessoais e Total de escolas</t>
  </si>
  <si>
    <t>Escolas com rede local de computadores</t>
  </si>
  <si>
    <t>Percentual de escolas com rede local de interligação de computadores.</t>
  </si>
  <si>
    <t>Percentual de escolas com rede local de interligação de computadores. Memória de cálculo exibida: Escolas com rede local ÷ Total de escolas × 100. Nota metodológica: Indicador de contexto; não gera distância de meta legal por não medir qualidade ou cobertura efetiva da rede interna.</t>
  </si>
  <si>
    <t>• Histórico de matrículas — Escolas com rede local de computadores
• Dependência administrativa (federal, estadual, municipal e privada, conforme disponibilidade)
• Dados usados no cálculo — Escolas com rede local e Total de escolas</t>
  </si>
  <si>
    <t>Escolas com rede local sem fio</t>
  </si>
  <si>
    <t>Percentual de escolas com rede local wireless.</t>
  </si>
  <si>
    <t>Percentual de escolas com rede local wireless. Memória de cálculo exibida: Escolas com rede sem fio ÷ Total de escolas × 100. Nota metodológica: Proxy parcial de rede interna sem fio; sem distância de meta legal.</t>
  </si>
  <si>
    <t>• Histórico de matrículas — Escolas com rede local sem fio
• Dependência administrativa (federal, estadual, municipal e privada, conforme disponibilidade)
• Dados usados no cálculo — Escolas com rede sem fio e Total de escolas</t>
  </si>
  <si>
    <t>Escolas com internet banda larga</t>
  </si>
  <si>
    <t>Percentual de escolas com oferta de internet banda larga.</t>
  </si>
  <si>
    <t>Percentual de escolas com oferta de internet banda larga. Memória de cálculo exibida: Escolas com banda larga ÷ Total de escolas × 100. Nota metodológica: Proxy parcial de conectividade; sem distância de meta legal por não medir velocidade efetiva ou qualidade.</t>
  </si>
  <si>
    <t>• Histórico de matrículas — Escolas com internet banda larga
• Dependência administrativa (federal, estadual, municipal e privada, conforme disponibilidade)
• Dados usados no cálculo — Escolas com banda larga e Total de escolas</t>
  </si>
  <si>
    <t>Escolas que promovem educação ambiental</t>
  </si>
  <si>
    <t>Percentual de escolas que promovem educação ambiental.</t>
  </si>
  <si>
    <t>Meta 8.c — Educação ambiental</t>
  </si>
  <si>
    <t>Assegurar que todas as instituições de ensino promovam a educação ambiental com base na Política Nacional de Educação Ambiental e nas diretrizes curriculares nacionais do Conselho Nacional de Educação (CNE).</t>
  </si>
  <si>
    <t>Percentual de escolas que promovem educação ambiental. Memória de cálculo exibida: Escolas com educação ambiental ÷ Total de escolas × 100.</t>
  </si>
  <si>
    <t>2024–2025</t>
  </si>
  <si>
    <t>• Histórico de matrículas — Escolas que promovem educação ambiental
• Dependência administrativa (federal, estadual, municipal e privada, conforme disponibilidade)
• Dados usados no cálculo — Escolas com educação ambiental e Total de escolas</t>
  </si>
  <si>
    <t>Escolas públicas com conselho escolar instituído e em funcionamento</t>
  </si>
  <si>
    <t>Percentual de escolas públicas da educação básica com conselho escolar instituído e em pleno funcionamento.</t>
  </si>
  <si>
    <t>Meta 18.b — Conselhos escolares</t>
  </si>
  <si>
    <t>Assegurar que todas as escolas públicas da educação básica tenham conselhos escolares instituídos e em pleno funcionamento, em consonância com a Lei nº 14.644, de 2 de agosto de 2023, com a participação dos diferentes segmentos da comunidade escolar.</t>
  </si>
  <si>
    <t>Percentual de escolas públicas da educação básica com conselho escolar instituído e em pleno funcionamento. Memória de cálculo exibida: Escolas públicas com conselho escolar ÷ Total de escolas públicas × 100.</t>
  </si>
  <si>
    <t>• Histórico de matrículas — Escolas públicas com conselho escolar instituído e em funcionamento
• Dependência administrativa (federal, estadual, municipal e privada, conforme disponibilidade)
• Dados usados no cálculo — Escolas públicas com conselho escolar e Total de escolas públicas</t>
  </si>
  <si>
    <t>Escolas públicas com projeto político pedagógico</t>
  </si>
  <si>
    <t>Percentual de escolas públicas da educação básica que possuem projeto político pedagógico ou proposta pedagógica. Considera as escolas que responderam sim ou não à atualização nos últimos 12 meses.</t>
  </si>
  <si>
    <t>Percentual de escolas públicas da educação básica que possuem projeto político pedagógico ou proposta pedagógica. Considera as escolas que responderam sim ou não à atualização nos últimos 12 meses. Memória de cálculo exibida: Escolas públicas com proposta pedagógica ÷ Total de escolas públicas × 100. Nota metodológica: Indicador de contexto; a meta legal depende de política/processo local e não apenas da existência declarada de proposta pedagógica.</t>
  </si>
  <si>
    <t>• Histórico de matrículas — Escolas públicas com projeto político pedagógico
• Dependência administrativa (federal, estadual, municipal e privada, conforme disponibilidade)
• Dados usados no cálculo — Escolas públicas com proposta pedagógica e Total de escolas públicas</t>
  </si>
  <si>
    <t>Salas de aula climatizadas</t>
  </si>
  <si>
    <t>Percentual de salas de aula utilizadas que são climatizadas.</t>
  </si>
  <si>
    <t>Meta 8.b — Conforto térmico</t>
  </si>
  <si>
    <t>Assegurar que todos os estabelecimentos de ensino tenham estrutura física e instalações que atendam a padrões de conforto térmico.</t>
  </si>
  <si>
    <t>Percentual de salas de aula utilizadas que são climatizadas. Memória de cálculo exibida: Salas climatizadas ÷ Total de salas utilizadas × 100. Nota metodológica: Proxy parcial de conforto térmico; não mede todo o padrão físico do estabelecimento.</t>
  </si>
  <si>
    <t>• Histórico de matrículas — Salas de aula climatizadas
• Dependência administrativa (federal, estadual, municipal e privada, conforme disponibilidade)
• Dados usados no cálculo — Salas climatizadas e Total de salas utilizadas</t>
  </si>
  <si>
    <t>Salas de aula com acessibilidade</t>
  </si>
  <si>
    <t>Percentual de salas de aula utilizadas com acessibilidade.</t>
  </si>
  <si>
    <t>Meta 19.c — Infraestrutura mínima nas escolas</t>
  </si>
  <si>
    <t>Garantir, até o final do terceiro ano de vigência deste PNE, as condições mínimas de infraestrutura de funcionamento e salubridade de todas as escolas da educação básica, com vistas à superação de situações críticas.</t>
  </si>
  <si>
    <t>Percentual de salas de aula utilizadas com acessibilidade. Memória de cálculo exibida: Salas acessíveis ÷ Total de salas utilizadas × 100. Nota metodológica: Proxy parcial de acessibilidade; não mede toda a acessibilidade escolar, como circulação, atendimento, materiais, transporte e demais ambientes.</t>
  </si>
  <si>
    <t>• Histórico de matrículas — Salas de aula com acessibilidade
• Dependência administrativa (federal, estadual, municipal e privada, conforme disponibilidade)
• Dados usados no cálculo — Salas acessíveis e Total de salas utilizadas</t>
  </si>
  <si>
    <t>Escolas com computadores de mesa para alunos</t>
  </si>
  <si>
    <t>Percentual de escolas com computadores de mesa disponíveis para os alunos.</t>
  </si>
  <si>
    <t>Percentual de escolas com computadores de mesa disponíveis para os alunos. Memória de cálculo exibida: Escolas com desktop para aluno ÷ Total de escolas × 100. Nota metodológica: Indicador de contexto; não mede suficiência de equipamentos por estudante.</t>
  </si>
  <si>
    <t>• Histórico de matrículas — Escolas com computadores de mesa para alunos
• Dependência administrativa (federal, estadual, municipal e privada, conforme disponibilidade)
• Dados usados no cálculo — Escolas com desktop para aluno e Total de escolas</t>
  </si>
  <si>
    <t>Escolas com computadores portáteis para alunos</t>
  </si>
  <si>
    <t>Percentual de escolas com computadores portáteis disponíveis para os alunos.</t>
  </si>
  <si>
    <t>Percentual de escolas com computadores portáteis disponíveis para os alunos. Memória de cálculo exibida: Escolas com computador portátil para aluno ÷ Total de escolas × 100. Nota metodológica: Indicador de contexto; não mede suficiência de equipamentos por estudante.</t>
  </si>
  <si>
    <t>• Histórico de matrículas — Escolas com computadores portáteis para alunos
• Dependência administrativa (federal, estadual, municipal e privada, conforme disponibilidade)
• Dados usados no cálculo — Escolas com computador portátil para aluno e Total de escolas</t>
  </si>
  <si>
    <t>Escolas com tablets para alunos</t>
  </si>
  <si>
    <t>Percentual de escolas com tablets disponíveis para os alunos.</t>
  </si>
  <si>
    <t>Percentual de escolas com tablets disponíveis para os alunos. Memória de cálculo exibida: Escolas com tablet para aluno ÷ Total de escolas × 100. Nota metodológica: Indicador de contexto; não mede suficiência de equipamentos por estudante.</t>
  </si>
  <si>
    <t>• Histórico de matrículas — Escolas com tablets para alunos
• Dependência administrativa (federal, estadual, municipal e privada, conforme disponibilidade)
• Dados usados no cálculo — Escolas com tablet para aluno e Total de escolas</t>
  </si>
  <si>
    <t>Taxa de alfabetização da população de 15 anos ou mais</t>
  </si>
  <si>
    <t>Percentual da população de 15 anos ou mais alfabetizada, com base nos Censos Demográficos.</t>
  </si>
  <si>
    <t>Meta 11.a — Alfabetização 15 anos ou mais</t>
  </si>
  <si>
    <t>Elevar a taxa de alfabetização da população com 15 (quinze) anos ou mais para 97% (noventa e sete por cento) até o quinto ano de vigência deste PNE e superar o analfabetismo até o final do decênio.</t>
  </si>
  <si>
    <t>Percentual da população de 15 anos ou mais alfabetizada, com base nos Censos Demográficos. Memória de cálculo exibida: Pessoas de 15 anos ou mais alfabetizadas ÷ População de 15 anos ou mais × 100. Nota metodológica: Censo Demográfico e linha censitária, não série anual municipal.</t>
  </si>
  <si>
    <t>https://www.ibge.gov.br/estatisticas/sociais/saude/22827-censo-demografico-2022.html
https://www.planalto.gov.br/ccivil_03/_ato2023-2026/2026/lei/l15388.htm</t>
  </si>
  <si>
    <t>População de 18 anos ou mais com ensino fundamental concluído</t>
  </si>
  <si>
    <t>Percentual da população de 18 anos ou mais com ensino fundamental concluído, com base nos Censos Demográficos.</t>
  </si>
  <si>
    <t>Meta 11.b — Conclusão do ensino fundamental 15+</t>
  </si>
  <si>
    <t>Elevar para 85% (oitenta e cinco por cento) o percentual da população com 15 (quinze) anos ou mais que concluiu o ensino fundamental e universalizar essa etapa para a população de 15 (quinze) a 29 (vinte e nove) anos.</t>
  </si>
  <si>
    <t>Percentual da população de 18 anos ou mais com ensino fundamental concluído, com base nos Censos Demográficos. Memória de cálculo exibida: População de 18 anos ou mais com ensino fundamental concluído ÷ População de 18 anos ou mais × 100. Nota metodológica: Censo Demográfico e linha censitária, não série anual municipal.</t>
  </si>
  <si>
    <t>• Histórico — População de 18 anos ou mais com ensino fundamental concluído
• Dados usados no cálculo — População de 18 anos ou mais com ensino fundamental concluído e População de 18 anos ou mais</t>
  </si>
  <si>
    <t>População de 15 a 29 anos com ensino fundamental concluído</t>
  </si>
  <si>
    <t>Percentual da população de 15 a 29 anos com ensino fundamental concluído, com base nos Censos Demográficos.</t>
  </si>
  <si>
    <t>Percentual da população de 15 a 29 anos com ensino fundamental concluído, com base nos Censos Demográficos. Memória de cálculo exibida: População de 15 a 29 anos com ensino fundamental concluído ÷ População de 15 a 29 anos × 100. Nota metodológica: Censo Demográfico e linha censitária, não série anual municipal.</t>
  </si>
  <si>
    <t>• Histórico — População de 15 a 29 anos com ensino fundamental concluído
• Dados usados no cálculo — População de 15 a 29 anos com ensino fundamental concluído e População de 15 a 29 anos</t>
  </si>
  <si>
    <t>População de 18 anos ou mais com ensino médio concluído</t>
  </si>
  <si>
    <t>Percentual da população de 18 anos ou mais com ensino médio concluído, com base nos Censos Demográficos.</t>
  </si>
  <si>
    <t>Meta 11.c — Conclusão do ensino médio 18+</t>
  </si>
  <si>
    <t>Elevar para 75% (setenta e cinco por cento) o percentual da população com 18 (dezoito) anos ou mais que concluiu o ensino médio e universalizar essa etapa para a população de 18 (dezoito) a 29 (vinte e nove) anos.</t>
  </si>
  <si>
    <t>Percentual da população de 18 anos ou mais com ensino médio concluído, com base nos Censos Demográficos. Memória de cálculo exibida: População de 18 anos ou mais com ensino médio concluído ÷ População de 18 anos ou mais × 100. Nota metodológica: Censo Demográfico e linha censitária, não série anual municipal.</t>
  </si>
  <si>
    <t>• Histórico — População de 18 anos ou mais com ensino médio concluído
• Dados usados no cálculo — População de 18 anos ou mais com ensino médio concluído e População de 18 anos ou mais</t>
  </si>
  <si>
    <t>População de 18 a 29 anos com ensino médio concluído</t>
  </si>
  <si>
    <t>Percentual da população de 18 a 29 anos com ensino médio concluído, com base nos Censos Demográficos.</t>
  </si>
  <si>
    <t>Percentual da população de 18 a 29 anos com ensino médio concluído, com base nos Censos Demográficos. Memória de cálculo exibida: População de 18 a 29 anos com ensino médio concluído ÷ População de 18 a 29 anos × 100. Nota metodológica: Censo Demográfico e linha censitária, não série anual municipal.</t>
  </si>
  <si>
    <t>• Histórico — População de 18 a 29 anos com ensino médio concluído
• Dados usados no cálculo — População de 18 a 29 anos com ensino médio concluído e População de 18 a 29 anos</t>
  </si>
  <si>
    <t>Catálogo de indicadores — Indicadores Educacionais</t>
  </si>
  <si>
    <t>Indicadores-base, complementares, cenários de demanda e indicadores do Sistema S organizados pelas seções da página.</t>
  </si>
  <si>
    <t>Visão geral; Atendimento e oferta</t>
  </si>
  <si>
    <t>Matrículas e atendimento</t>
  </si>
  <si>
    <t>Indicador educacional</t>
  </si>
  <si>
    <t>Total de matrículas</t>
  </si>
  <si>
    <t>Total de matrículas registradas na educação básica do município.</t>
  </si>
  <si>
    <t>Total de matrículas registradas na educação básica do município. A plataforma lê o campo “series.total” do bloco “matriculas” e apresenta a medida em alunos.</t>
  </si>
  <si>
    <t>2014–2025; periodicidade anual</t>
  </si>
  <si>
    <t>Censo Escolar da Educação Básica — INEP</t>
  </si>
  <si>
    <t>Atendimento e oferta</t>
  </si>
  <si>
    <t>Oferta por etapa</t>
  </si>
  <si>
    <t>Matrículas na educação infantil</t>
  </si>
  <si>
    <t>Matrículas registradas na educação infantil.</t>
  </si>
  <si>
    <t>Matrículas registradas na educação infantil. A plataforma lê o campo “series.por_etapa.infantil” do bloco “matriculas” e apresenta a medida em alunos.</t>
  </si>
  <si>
    <t>Matrículas no ensino fundamental</t>
  </si>
  <si>
    <t>Matrículas registradas no ensino fundamental.</t>
  </si>
  <si>
    <t>Matrículas registradas no ensino fundamental. A plataforma lê o campo “series.por_etapa.fundamental” do bloco “matriculas” e apresenta a medida em alunos.</t>
  </si>
  <si>
    <t>Matrículas no ensino médio</t>
  </si>
  <si>
    <t>Matrículas registradas no ensino médio.</t>
  </si>
  <si>
    <t>Matrículas registradas no ensino médio. A plataforma lê o campo “series.por_etapa.medio” do bloco “matriculas” e apresenta a medida em alunos.</t>
  </si>
  <si>
    <t>Modalidades, inclusão e territórios</t>
  </si>
  <si>
    <t>Educação de Jovens e Adultos</t>
  </si>
  <si>
    <t>Matrículas na EJA</t>
  </si>
  <si>
    <t>Matrículas registradas na educação de jovens e adultos.</t>
  </si>
  <si>
    <t>Matrículas registradas na educação de jovens e adultos. A plataforma lê o campo “series.por_etapa.eja” do bloco “matriculas” e apresenta a medida em alunos.</t>
  </si>
  <si>
    <t>Educação profissional e tecnológica</t>
  </si>
  <si>
    <t>Matrículas na educação profissional — Censo Escolar</t>
  </si>
  <si>
    <t>Matrículas registradas na educação profissional/técnica no Censo Escolar, por etapa de ensino.</t>
  </si>
  <si>
    <t>Matrículas registradas na educação profissional/técnica no Censo Escolar, por etapa de ensino. A plataforma lê o campo “series.por_etapa.profissional” do bloco “matriculas” e apresenta a medida em alunos.</t>
  </si>
  <si>
    <t>As duas séries representam matrículas na educação profissional, mas vêm de blocos de dados distintos e não devem ser deduplicadas automaticamente.</t>
  </si>
  <si>
    <t>Matrículas em tempo integral</t>
  </si>
  <si>
    <t>Percentual total de matrículas em tempo integral no município.</t>
  </si>
  <si>
    <t>Percentual total de matrículas em tempo integral no município. A plataforma lê o campo “series.integral[].percentual” do bloco “matriculas” e apresenta a medida em percentual.</t>
  </si>
  <si>
    <t>Territórios</t>
  </si>
  <si>
    <t>Matrículas em zona rural</t>
  </si>
  <si>
    <t>Matrículas vinculadas à localização rural.</t>
  </si>
  <si>
    <t>Matrículas vinculadas à localização rural. A plataforma lê o campo “series.por_localizacao.rural” do bloco “matriculas” e apresenta a medida em alunos.</t>
  </si>
  <si>
    <t>Redes de ensino</t>
  </si>
  <si>
    <t>Matrículas na rede pública</t>
  </si>
  <si>
    <t>Matrículas na rede pública municipal, estadual e federal.</t>
  </si>
  <si>
    <t>Matrículas na rede pública municipal, estadual e federal. A plataforma lê o campo “series.por_dependencia.publica” do bloco “matriculas” e apresenta a medida em alunos.</t>
  </si>
  <si>
    <t>Matrículas na rede privada</t>
  </si>
  <si>
    <t>Matrículas na rede privada.</t>
  </si>
  <si>
    <t>Matrículas na rede privada. A plataforma lê o campo “series.por_dependencia.privada” do bloco “matriculas” e apresenta a medida em alunos.</t>
  </si>
  <si>
    <t>Total de escolas</t>
  </si>
  <si>
    <t>Total de escolas registradas no município.</t>
  </si>
  <si>
    <t>Total de escolas registradas no município. A plataforma lê o campo “series.total” do bloco “rede_escolar” e apresenta a medida em escolas.</t>
  </si>
  <si>
    <t>Educação Infantil</t>
  </si>
  <si>
    <t>Escolas que ofertam educação infantil.</t>
  </si>
  <si>
    <t>Escolas que ofertam educação infantil. A plataforma lê o campo “series.por_etapa.infantil” do bloco “rede_escolar” e apresenta a medida em escolas.</t>
  </si>
  <si>
    <t>Ensino Fundamental</t>
  </si>
  <si>
    <t>Escolas que ofertam ensino fundamental.</t>
  </si>
  <si>
    <t>Escolas que ofertam ensino fundamental. A plataforma lê o campo “series.por_etapa.fundamental” do bloco “rede_escolar” e apresenta a medida em escolas.</t>
  </si>
  <si>
    <t>Ensino Médio</t>
  </si>
  <si>
    <t>Escolas que ofertam ensino médio.</t>
  </si>
  <si>
    <t>Escolas que ofertam ensino médio. A plataforma lê o campo “series.por_etapa.medio” do bloco “rede_escolar” e apresenta a medida em escolas.</t>
  </si>
  <si>
    <t>EJA</t>
  </si>
  <si>
    <t>Escolas que ofertam EJA.</t>
  </si>
  <si>
    <t>Escolas que ofertam EJA. A plataforma lê o campo “series.por_etapa.eja” do bloco “rede_escolar” e apresenta a medida em escolas.</t>
  </si>
  <si>
    <t>Educação Profissional</t>
  </si>
  <si>
    <t>Escolas que ofertam educação profissional.</t>
  </si>
  <si>
    <t>Escolas que ofertam educação profissional. A plataforma lê o campo “series.por_etapa.profissional” do bloco “rede_escolar” e apresenta a medida em escolas.</t>
  </si>
  <si>
    <t>Infraestrutura e condições de oferta</t>
  </si>
  <si>
    <t>Rede escolar</t>
  </si>
  <si>
    <t>Infraestrutura</t>
  </si>
  <si>
    <t>Acesso à internet e banda larga nas escolas.</t>
  </si>
  <si>
    <t>Acesso à internet e banda larga nas escolas. A plataforma lê o campo “series.internet[].perc_internet” do bloco “rede_escolar” e apresenta a medida em percentual.</t>
  </si>
  <si>
    <t>Profissionais da educação</t>
  </si>
  <si>
    <t>Organização das turmas</t>
  </si>
  <si>
    <t>Alunos por turma - Educação Infantil</t>
  </si>
  <si>
    <t>Média oficial de alunos por turma em educação infantil. Use o filtro para trocar total, ano ou série.</t>
  </si>
  <si>
    <t>Média oficial de alunos por turma em educação infantil. Use o filtro para trocar total, ano ou série. A plataforma lê o campo “series.por_serie.infantil_total” do bloco “alunos_turma” e apresenta a medida em alunos por turma.</t>
  </si>
  <si>
    <t>2016–2025; periodicidade anual</t>
  </si>
  <si>
    <t>Média de Alunos por Turma (ATU) — INEP</t>
  </si>
  <si>
    <t>Visão geral; Profissionais da educação</t>
  </si>
  <si>
    <t>Alunos por turma - Ensino Fundamental</t>
  </si>
  <si>
    <t>Média oficial de alunos por turma em ensino fundamental. Use o filtro para trocar total, ano ou série.</t>
  </si>
  <si>
    <t>Média oficial de alunos por turma em ensino fundamental. Use o filtro para trocar total, ano ou série. A plataforma lê o campo “series.por_serie.fundamental_total” do bloco “alunos_turma” e apresenta a medida em alunos por turma.</t>
  </si>
  <si>
    <t>Alunos por turma - Ensino Médio</t>
  </si>
  <si>
    <t>Média oficial de alunos por turma em ensino médio. Use o filtro para trocar total, ano ou série.</t>
  </si>
  <si>
    <t>Média oficial de alunos por turma em ensino médio. Use o filtro para trocar total, ano ou série. A plataforma lê o campo “series.por_serie.medio_total” do bloco “alunos_turma” e apresenta a medida em alunos por turma.</t>
  </si>
  <si>
    <t>Docentes</t>
  </si>
  <si>
    <t>Total de docentes</t>
  </si>
  <si>
    <t>Total de docentes registrados no município.</t>
  </si>
  <si>
    <t>Total de docentes registrados no município. A plataforma lê o campo “series.total.docentes” do bloco “turmas_docentes” e apresenta a medida em docentes.</t>
  </si>
  <si>
    <t>Docentes - Educação Infantil</t>
  </si>
  <si>
    <t>Total de docentes vinculados a educação infantil.</t>
  </si>
  <si>
    <t>Total de docentes vinculados a educação infantil. A plataforma lê o campo “series.por_etapa.infantil.docentes” do bloco “turmas_docentes” e apresenta a medida em docentes.</t>
  </si>
  <si>
    <t>Docentes - Ensino Fundamental</t>
  </si>
  <si>
    <t>Total de docentes vinculados a ensino fundamental.</t>
  </si>
  <si>
    <t>Total de docentes vinculados a ensino fundamental. A plataforma lê o campo “series.por_etapa.fundamental.docentes” do bloco “turmas_docentes” e apresenta a medida em docentes.</t>
  </si>
  <si>
    <t>Docentes - Ensino Médio</t>
  </si>
  <si>
    <t>Total de docentes vinculados a ensino médio.</t>
  </si>
  <si>
    <t>Total de docentes vinculados a ensino médio. A plataforma lê o campo “series.por_etapa.medio.docentes” do bloco “turmas_docentes” e apresenta a medida em docentes.</t>
  </si>
  <si>
    <t>Docentes - EJA</t>
  </si>
  <si>
    <t>Total de docentes vinculados a EJA.</t>
  </si>
  <si>
    <t>Total de docentes vinculados a EJA. A plataforma lê o campo “series.por_etapa.eja.docentes” do bloco “turmas_docentes” e apresenta a medida em docentes.</t>
  </si>
  <si>
    <t>Docentes - Educação Profissional</t>
  </si>
  <si>
    <t>Total de docentes vinculados a educação profissional.</t>
  </si>
  <si>
    <t>Total de docentes vinculados a educação profissional. A plataforma lê o campo “series.por_etapa.profissional.docentes” do bloco “turmas_docentes” e apresenta a medida em docentes.</t>
  </si>
  <si>
    <t>Visão geral; Trajetória escolar e aprendizagem</t>
  </si>
  <si>
    <t>Fluxo escolar</t>
  </si>
  <si>
    <t>Taxa de aprovação</t>
  </si>
  <si>
    <t>Percentual de aprovação no fluxo escolar.</t>
  </si>
  <si>
    <t>Percentual de aprovação no fluxo escolar. A plataforma lê o campo “series.por_etapa.fundamental.taxa_aprovacao” do bloco “fluxo” e apresenta a medida em percentual.</t>
  </si>
  <si>
    <t>2018–2025; periodicidade anual</t>
  </si>
  <si>
    <t>Taxas de Rendimento Escolar — INEP</t>
  </si>
  <si>
    <t>Trajetória escolar e aprendizagem</t>
  </si>
  <si>
    <t>Taxa de aprovação no ensino médio</t>
  </si>
  <si>
    <t>Percentual de aprovação no ensino médio.</t>
  </si>
  <si>
    <t>Percentual de aprovação no ensino médio. A plataforma lê o campo “series.por_etapa.medio.taxa_aprovacao” do bloco “fluxo” e apresenta a medida em percentual.</t>
  </si>
  <si>
    <t>Taxa de reprovação</t>
  </si>
  <si>
    <t>Percentual de reprovação no fluxo escolar.</t>
  </si>
  <si>
    <t>Percentual de reprovação no fluxo escolar. A plataforma lê o campo “series.por_etapa.fundamental.taxa_reprovacao” do bloco “fluxo” e apresenta a medida em percentual.</t>
  </si>
  <si>
    <t>Taxa de abandono</t>
  </si>
  <si>
    <t>Percentual de abandono no fluxo escolar.</t>
  </si>
  <si>
    <t>Percentual de abandono no fluxo escolar. A plataforma lê o campo “series.por_etapa.fundamental.taxa_abandono” do bloco “fluxo” e apresenta a medida em percentual.</t>
  </si>
  <si>
    <t>Distorção idade-série</t>
  </si>
  <si>
    <t>Percentual de estudantes com distorção idade-série.</t>
  </si>
  <si>
    <t>Percentual de estudantes com distorção idade-série. A plataforma lê o campo “series.por_etapa.fundamental.taxa_distorcao” do bloco “fluxo” e apresenta a medida em percentual.</t>
  </si>
  <si>
    <t>Distorção Idade-Série — INEP</t>
  </si>
  <si>
    <t>Aprendizagem</t>
  </si>
  <si>
    <t>IDEB</t>
  </si>
  <si>
    <t>Último IDEB disponível para o recorte principal.</t>
  </si>
  <si>
    <t>Último IDEB disponível para o recorte principal. A plataforma lê o campo “series.ideb.&lt;etapa&gt;” do bloco “aprendizagem” e apresenta a medida em índice.</t>
  </si>
  <si>
    <t>2011–2023 (7 pontos disponíveis; periodicidade bienal)</t>
  </si>
  <si>
    <t>Sistema de Avaliação da Educação Básica (SAEB) e IDEB — INEP</t>
  </si>
  <si>
    <t>SAEB Língua Portuguesa</t>
  </si>
  <si>
    <t>Resultado de Língua Portuguesa no SAEB.</t>
  </si>
  <si>
    <t>Resultado de Língua Portuguesa no SAEB. A plataforma lê o campo “series.ideb.&lt;etapa&gt;.saeb_lp” do bloco “aprendizagem” e apresenta a medida em pontos.</t>
  </si>
  <si>
    <t>SAEB Matemática</t>
  </si>
  <si>
    <t>Resultado de Matemática no SAEB.</t>
  </si>
  <si>
    <t>Resultado de Matemática no SAEB. A plataforma lê o campo “series.ideb.&lt;etapa&gt;.saeb_mt” do bloco “aprendizagem” e apresenta a medida em pontos.</t>
  </si>
  <si>
    <t>Alfabetização</t>
  </si>
  <si>
    <t>Taxa de alfabetização disponível para os anos recentes.</t>
  </si>
  <si>
    <t>Taxa de alfabetização disponível para os anos recentes. A plataforma lê o campo “series.alfabetizacao[].taxa_alfabetizacao” do bloco “aprendizagem” e apresenta a medida em percentual.</t>
  </si>
  <si>
    <t>2023–2025; periodicidade anual</t>
  </si>
  <si>
    <t>Indicador de Alfabetização — INEP</t>
  </si>
  <si>
    <t>Contexto educacional</t>
  </si>
  <si>
    <t>INSE</t>
  </si>
  <si>
    <t>Média do indicador de nível socioeconômico.</t>
  </si>
  <si>
    <t>Média do indicador de nível socioeconômico. A plataforma lê o campo “series.inse[].media_inse” do bloco “aprendizagem” e apresenta a medida em índice.</t>
  </si>
  <si>
    <t>2019, 2021, 2023; periodicidade bienal</t>
  </si>
  <si>
    <t>Indicador de Nível Socioeconômico (INSE) — INEP</t>
  </si>
  <si>
    <t>Visão geral; Modalidades, inclusão e territórios</t>
  </si>
  <si>
    <t>Matrículas técnicas — Sinopse Estatística</t>
  </si>
  <si>
    <t>Total de matrículas em cursos técnicos e profissionais segundo a Sinopse Estatística do Censo Escolar.</t>
  </si>
  <si>
    <t>Total de matrículas em cursos técnicos e profissionais segundo a Sinopse Estatística do Censo Escolar. A plataforma lê o campo “series.total” do bloco “oferta_tecnica” e apresenta a medida em alunos.</t>
  </si>
  <si>
    <t>2013–2025; periodicidade anual</t>
  </si>
  <si>
    <t>Sinopse Estatística do Censo Escolar — INEP</t>
  </si>
  <si>
    <t>Inclusão</t>
  </si>
  <si>
    <t>Indicador complementar do PNE</t>
  </si>
  <si>
    <t>Participação das turmas ou salas de AEE em relação ao total da educação especial no município. A plataforma lê o campo “indicadores.aee.series” do bloco “pne_2026_2036.indicadores” e apresenta a medida em percentual.</t>
  </si>
  <si>
    <t>2015–2025; periodicidade anual</t>
  </si>
  <si>
    <t>Censo Escolar — contexto complementar do PNE</t>
  </si>
  <si>
    <t>Indicador contextual: não exibe distância, status de meta ou projeção e não representa cumprimento de meta legal.</t>
  </si>
  <si>
    <t>Matrículas do EJA integradas à educação profissional</t>
  </si>
  <si>
    <t>Número de matrículas do EJA na forma integrada à educação profissional no município.</t>
  </si>
  <si>
    <t>Número de matrículas do EJA na forma integrada à educação profissional no município. A plataforma lê o campo “indicadores.eja_integrada_educacao_profissional.series” do bloco “pne_2026_2036.indicadores” e apresenta a medida em alunos.</t>
  </si>
  <si>
    <t>Conectividade</t>
  </si>
  <si>
    <t>Percentual de escolas da educação básica com acesso à internet. A plataforma lê o campo “indicadores.internet.series” do bloco “pne_2026_2036.indicadores” e apresenta a medida em percentual.</t>
  </si>
  <si>
    <t>Percentual de escolas com internet disponível para uso dos alunos. A plataforma lê o campo “indicadores.internet_alunos.series” do bloco “pne_2026_2036.indicadores” e apresenta a medida em percentual.</t>
  </si>
  <si>
    <t>2019–2025; periodicidade anual</t>
  </si>
  <si>
    <t>Percentual de escolas com internet aplicada aos processos de ensino e aprendizagem. A plataforma lê o campo “indicadores.internet_aprendizagem.series” do bloco “pne_2026_2036.indicadores” e apresenta a medida em percentual.</t>
  </si>
  <si>
    <t>Percentual de escolas com internet aberta ao uso da comunidade. A plataforma lê o campo “indicadores.internet_comunidade.series” do bloco “pne_2026_2036.indicadores” e apresenta a medida em percentual.</t>
  </si>
  <si>
    <t>Percentual de escolas em que os alunos acessam a internet por computadores da escola. A plataforma lê o campo “indicadores.acesso_internet_computador.series” do bloco “pne_2026_2036.indicadores” e apresenta a medida em percentual.</t>
  </si>
  <si>
    <t>Percentual de escolas em que os alunos acessam a internet por dispositivos pessoais. A plataforma lê o campo “indicadores.acesso_internet_disp_pessoais.series” do bloco “pne_2026_2036.indicadores” e apresenta a medida em percentual.</t>
  </si>
  <si>
    <t>Percentual de escolas com rede local de interligação de computadores. A plataforma lê o campo “indicadores.rede_local.series” do bloco “pne_2026_2036.indicadores” e apresenta a medida em percentual.</t>
  </si>
  <si>
    <t>Percentual de escolas com rede local wireless. A plataforma lê o campo “indicadores.rede_wireless.series” do bloco “pne_2026_2036.indicadores” e apresenta a medida em percentual.</t>
  </si>
  <si>
    <t>Percentual de escolas com oferta de internet banda larga. A plataforma lê o campo “indicadores.banda_larga.series” do bloco “pne_2026_2036.indicadores” e apresenta a medida em percentual.</t>
  </si>
  <si>
    <t>Equipamentos e recursos pedagógicos</t>
  </si>
  <si>
    <t>Percentual de escolas públicas da educação básica que possuem projeto político pedagógico ou proposta pedagógica.</t>
  </si>
  <si>
    <t>Percentual de escolas públicas da educação básica que possuem projeto político pedagógico ou proposta pedagógica. A plataforma lê o campo “indicadores.proposta_pedagogica.series” do bloco “pne_2026_2036.indicadores” e apresenta a medida em percentual.</t>
  </si>
  <si>
    <t>Percentual de escolas com computadores de mesa disponíveis para os alunos. A plataforma lê o campo “indicadores.desktop_aluno.series” do bloco “pne_2026_2036.indicadores” e apresenta a medida em percentual.</t>
  </si>
  <si>
    <t>Percentual de escolas com computadores portáteis disponíveis para os alunos. A plataforma lê o campo “indicadores.comp_portatil_aluno.series” do bloco “pne_2026_2036.indicadores” e apresenta a medida em percentual.</t>
  </si>
  <si>
    <t>Percentual de escolas com tablets disponíveis para os alunos. A plataforma lê o campo “indicadores.tablet_aluno.series” do bloco “pne_2026_2036.indicadores” e apresenta a medida em percentual.</t>
  </si>
  <si>
    <t>Demanda e projeções</t>
  </si>
  <si>
    <t>Cenário estimado de atendimento</t>
  </si>
  <si>
    <t>Atendimento em creche</t>
  </si>
  <si>
    <t>Cenário de atendimento para a faixa de 0 a 3 anos, com população de referência por faixa etária.</t>
  </si>
  <si>
    <t>Combina o histórico municipal disponível do percentual de atendimento com a população de referência por faixa etária e projeta um cenário estimado até 2036, com suavização e limites plausíveis por indicador.</t>
  </si>
  <si>
    <t>2014–2025; periodicidade anual observado; 2026–2036; periodicidade estimada</t>
  </si>
  <si>
    <t>Cenário estimado para planejamento; não constitui previsão oficial nem cálculo direto de déficit de vagas. Matrículas localizadas no território não representam necessariamente a residência dos estudantes.</t>
  </si>
  <si>
    <t>Atendimento na pré-escola</t>
  </si>
  <si>
    <t>Cenário de atendimento para a faixa de 4 a 5 anos, com população de referência por faixa etária.</t>
  </si>
  <si>
    <t>Educação Básica</t>
  </si>
  <si>
    <t>Atendimento na educação básica</t>
  </si>
  <si>
    <t>Cenário de atendimento para a faixa de 6 a 17 anos, com população de referência por faixa etária.</t>
  </si>
  <si>
    <t>Atendimento de adolescentes na educação básica</t>
  </si>
  <si>
    <t>Cenário de atendimento para a faixa de 15 a 17 anos, com população de referência por faixa etária.</t>
  </si>
  <si>
    <t>Sistema S</t>
  </si>
  <si>
    <t>Indicador educacional — Sistema S</t>
  </si>
  <si>
    <t>Escolas do Sistema S</t>
  </si>
  <si>
    <t>Total de escolas mantidas pelo Sistema S no município.</t>
  </si>
  <si>
    <t>Total de escolas mantidas pelo Sistema S no município. A série anual é lida do bloco “sistema_s.series.total_escolas”.</t>
  </si>
  <si>
    <t>Distribuição de matrículas por etapa e lista de escolas, quando disponíveis</t>
  </si>
  <si>
    <t>Parte das matrículas pode estar vinculada a unidades EAD ou sedes regionais declaradas no município.</t>
  </si>
  <si>
    <t>Matrículas nas escolas do Sistema S</t>
  </si>
  <si>
    <t>Total de matrículas nas escolas do Sistema S.</t>
  </si>
  <si>
    <t>Total de matrículas nas escolas do Sistema S. A série anual é lida do bloco “sistema_s.series.matriculas”.</t>
  </si>
  <si>
    <t>Turmas nas escolas do Sistema S</t>
  </si>
  <si>
    <t>Total de turmas nas escolas do Sistema S.</t>
  </si>
  <si>
    <t>Total de turmas nas escolas do Sistema S. A série anual é lida do bloco “sistema_s.series.turmas”.</t>
  </si>
  <si>
    <t>Docentes nas escolas do Sistema S</t>
  </si>
  <si>
    <t>Total de docentes vinculados às escolas do Sistema S.</t>
  </si>
  <si>
    <t>Total de docentes vinculados às escolas do Sistema S. A série anual é lida do bloco “sistema_s.series.docentes”.</t>
  </si>
  <si>
    <t>Catálogo de indicadores — Financiamento</t>
  </si>
  <si>
    <t>Indicadores dos módulos SIOPE, FUNDEB, PNATE e Complementação VAAR, com cálculo, período, fonte e referências de leitura.</t>
  </si>
  <si>
    <t>Financiamento e Execução dos Recursos da Educação</t>
  </si>
  <si>
    <t>Aplicação mínima em educação</t>
  </si>
  <si>
    <t>Indicador financeiro — SIOPE</t>
  </si>
  <si>
    <t>1.1</t>
  </si>
  <si>
    <t>Aplicação em MDE</t>
  </si>
  <si>
    <t>Percentual da receita de impostos e transferências aplicado em manutenção e desenvolvimento do ensino.</t>
  </si>
  <si>
    <t>Referência legal/financeira, quando aplicável</t>
  </si>
  <si>
    <t>Mínimo constitucional de 25% para municípios, conforme o período de referência.</t>
  </si>
  <si>
    <t>Despesas classificadas como MDE ÷ receita de impostos e transferências vinculada × 100.</t>
  </si>
  <si>
    <t>2021–2025; 6º bimestre de cada ano</t>
  </si>
  <si>
    <t>Receitas, despesas e transferências educacionais declaradas pelo município ao SIOPE/FNDE.</t>
  </si>
  <si>
    <t>https://www.gov.br/fnde/pt-br/assuntos/sistemas/siope</t>
  </si>
  <si>
    <t>Série anual declarada no SIOPE; para cada ano, o painel considera o dado declarado no 6º bimestre. Referência legal: mínimo de 25%.</t>
  </si>
  <si>
    <t>FUNDEB</t>
  </si>
  <si>
    <t>1.2</t>
  </si>
  <si>
    <t>FUNDEB em remuneração</t>
  </si>
  <si>
    <t>Percentual dos recursos do FUNDEB aplicado na remuneração dos profissionais da educação básica.</t>
  </si>
  <si>
    <t>Mínimo de 70% desde 2021; até 2020, a referência histórica era 60%.</t>
  </si>
  <si>
    <t>Despesa elegível de remuneração ÷ recursos do FUNDEB considerados pela fonte × 100.</t>
  </si>
  <si>
    <t>Série anual declarada no SIOPE; para cada ano, o painel considera o dado declarado no 6º bimestre. Referência legal: mínimo de 70%.</t>
  </si>
  <si>
    <t>1.4</t>
  </si>
  <si>
    <t>FUNDEB não aplicado</t>
  </si>
  <si>
    <t>Parcela dos recursos do FUNDEB que não foi aplicada no próprio exercício.</t>
  </si>
  <si>
    <t>Observe o limite e o prazo legal aplicáveis ao exercício e à composição do fundo.</t>
  </si>
  <si>
    <t>Recursos do FUNDEB não aplicados no exercício ÷ recursos do FUNDEB sujeitos à regra × 100.</t>
  </si>
  <si>
    <t>Série anual declarada no SIOPE; para cada ano, o painel considera o dado declarado no 6º bimestre. Referência legal indicada pela fonte: máximo de 10%. Há cobertura incompleta em 2023, 2024, 2025; consultar o aviso de disponibilidade da plataforma.</t>
  </si>
  <si>
    <t>8.2</t>
  </si>
  <si>
    <t>Valor aplicado em MDE</t>
  </si>
  <si>
    <t>Volume financeiro aplicado em manutenção e desenvolvimento do ensino.</t>
  </si>
  <si>
    <t>Compare com a base de receita, o porte da rede, o número de estudantes e o ano; o valor não é uma medida de qualidade.</t>
  </si>
  <si>
    <t>Soma dos valores de despesas classificadas como MDE no leiaute do SIOPE.</t>
  </si>
  <si>
    <t>Série anual declarada no SIOPE; para cada ano, o painel considera o dado declarado no 6º bimestre. Valor nominal em reais, sem correção inflacionária.</t>
  </si>
  <si>
    <t>2.1</t>
  </si>
  <si>
    <t>FUNDEB na educação infantil</t>
  </si>
  <si>
    <t>Percentual do indicador financeiro do FUNDEB associado à educação infantil.</t>
  </si>
  <si>
    <t>Não há um alvo isolado neste painel; leia junto da matrícula, da oferta e da organização da rede.</t>
  </si>
  <si>
    <t>Percentual de despesas do FUNDEB atribuído à educação infantil ÷ base financeira do indicador, conforme o leiaute do SIOPE.</t>
  </si>
  <si>
    <t>Série anual declarada no SIOPE; para cada ano, o painel considera o dado declarado no 6º bimestre. Não classificar maior ou menor como melhor sem contexto de oferta e matrícula. Há cobertura incompleta em 2024, 2025; consultar o aviso de disponibilidade da plataforma.</t>
  </si>
  <si>
    <t>2.2</t>
  </si>
  <si>
    <t>FUNDEB no ensino fundamental</t>
  </si>
  <si>
    <t>Percentual do indicador financeiro do FUNDEB associado ao ensino fundamental.</t>
  </si>
  <si>
    <t>Não há um alvo isolado neste painel; considere a matrícula, a responsabilidade municipal e a oferta observada.</t>
  </si>
  <si>
    <t>Percentual de despesas do FUNDEB atribuído ao ensino fundamental ÷ base financeira do indicador, conforme o leiaute do SIOPE.</t>
  </si>
  <si>
    <t>Série anual declarada no SIOPE; para cada ano, o painel considera o dado declarado no 6º bimestre. Não classificar maior ou menor como melhor sem contexto de oferta e matrícula.</t>
  </si>
  <si>
    <t>2.8</t>
  </si>
  <si>
    <t>Educação nas despesas totais</t>
  </si>
  <si>
    <t>Peso da educação no conjunto das despesas municipais.</t>
  </si>
  <si>
    <t>Percentual maior não significa automaticamente melhor gasto; leia junto dos mínimos, da rede e das necessidades locais.</t>
  </si>
  <si>
    <t>Despesa municipal em educação ÷ despesa municipal total considerada pela fonte × 100.</t>
  </si>
  <si>
    <t>Série anual declarada no SIOPE; para cada ano, o painel considera o dado declarado no 6º bimestre. Indicador de composição orçamentária; não indica qualidade do gasto por si só. Há cobertura incompleta em 2021, 2022; consultar o aviso de disponibilidade da plataforma.</t>
  </si>
  <si>
    <t>Gasto por aluno</t>
  </si>
  <si>
    <t>4.8</t>
  </si>
  <si>
    <t>Investimento por aluno da educação básica</t>
  </si>
  <si>
    <t>Valor médio aplicado por estudante da educação básica.</t>
  </si>
  <si>
    <t>Redes menores, rurais ou dispersas podem ter custos unitários diferentes; o indicador não mede qualidade sozinho.</t>
  </si>
  <si>
    <t>Despesa educacional considerada ÷ estudantes da educação básica utilizados como denominador pelo SIOPE.</t>
  </si>
  <si>
    <t>4.1</t>
  </si>
  <si>
    <t>Investimento por aluno da educação infantil</t>
  </si>
  <si>
    <t>Gasto médio por estudante da educação infantil.</t>
  </si>
  <si>
    <t>Considere jornada, infraestrutura, profissionais, demanda por creche e pré-escola e composição da oferta.</t>
  </si>
  <si>
    <t>Despesa da educação infantil considerada ÷ estudantes da educação infantil utilizados como denominador pelo SIOPE.</t>
  </si>
  <si>
    <t>4.2</t>
  </si>
  <si>
    <t>Investimento por aluno do ensino fundamental</t>
  </si>
  <si>
    <t>Gasto médio por estudante do ensino fundamental.</t>
  </si>
  <si>
    <t>Leia junto da matrícula, do transporte, do tempo integral, da estrutura e das características territoriais.</t>
  </si>
  <si>
    <t>Despesa do ensino fundamental considerada ÷ estudantes do ensino fundamental utilizados como denominador pelo SIOPE.</t>
  </si>
  <si>
    <t>Despesas com pessoal</t>
  </si>
  <si>
    <t>4.10</t>
  </si>
  <si>
    <t>Despesa com professores por aluno</t>
  </si>
  <si>
    <t>Parcela da despesa com professores associada a cada estudante da educação básica.</t>
  </si>
  <si>
    <t>Não indica isoladamente valorização adequada, eficiência ou resultado de aprendizagem.</t>
  </si>
  <si>
    <t>Despesa com professores considerada pela fonte ÷ estudantes da educação básica utilizados como denominador.</t>
  </si>
  <si>
    <t>Série anual declarada no SIOPE; para cada ano, o painel considera o dado declarado no 6º bimestre. Valor nominal em reais; não deve ser usado isoladamente para julgar eficiência.</t>
  </si>
  <si>
    <t>Receitas da educação</t>
  </si>
  <si>
    <t>6.2</t>
  </si>
  <si>
    <t>Impostos na receita total</t>
  </si>
  <si>
    <t>Participação das receitas de impostos no total das receitas municipais.</t>
  </si>
  <si>
    <t>A leitura depende da cobertura e da disponibilidade da declaração em cada ano.</t>
  </si>
  <si>
    <t>Receitas de impostos consideradas ÷ receitas totais consideradas pela fonte × 100.</t>
  </si>
  <si>
    <t>Série anual declarada no SIOPE; para cada ano, o painel considera o dado declarado no 6º bimestre. Cobertura menor em alguns anos; usar com aviso de disponibilidade. Há cobertura incompleta em 2021, 2022, 2023, 2024, 2025; consultar o aviso de disponibilidade da plataforma.</t>
  </si>
  <si>
    <t>Resultado financeiro</t>
  </si>
  <si>
    <t>7.1</t>
  </si>
  <si>
    <t>Resultado financeiro do exercício</t>
  </si>
  <si>
    <t>Resultado financeiro informado no exercício.</t>
  </si>
  <si>
    <t>Não deve ser usado sozinho para avaliar a política educacional; considere contexto fiscal, contábil e orçamentário.</t>
  </si>
  <si>
    <t>Resultado financeiro do exercício conforme receitas, despesas e regras contábeis declaradas ao SIOPE.</t>
  </si>
  <si>
    <t>Série anual declarada no SIOPE; para cada ano, o painel considera o dado declarado no 6º bimestre. Valor nominal em reais; superávit ou déficit precisa ser lido junto ao contexto fiscal. Há cobertura incompleta em 2022, 2023, 2024, 2025; consultar o aviso de disponibilidade da plataforma.</t>
  </si>
  <si>
    <t>7.2</t>
  </si>
  <si>
    <t>Saldo financeiro do FUNDEB</t>
  </si>
  <si>
    <t>Saldo financeiro associado aos recursos do FUNDEB no exercício.</t>
  </si>
  <si>
    <t>A existência de saldo não é necessariamente irregular; considere repasses, despesas empenhadas, restos a pagar e prazos legais.</t>
  </si>
  <si>
    <t>Saldo financeiro do FUNDEB conforme disponibilidade, ingressos, pagamentos e conciliação declarados.</t>
  </si>
  <si>
    <t>Série anual declarada no SIOPE; para cada ano, o painel considera o dado declarado no 6º bimestre. Valor nominal em reais; deve ser interpretado com dados de execução e calendário financeiro. Há cobertura incompleta em 2022, 2025; consultar o aviso de disponibilidade da plataforma.</t>
  </si>
  <si>
    <t>Receitas, despesas, remuneração e saldos</t>
  </si>
  <si>
    <t>Indicador financeiro — FUNDEB</t>
  </si>
  <si>
    <t>receitas</t>
  </si>
  <si>
    <t>Receitas do FUNDEB</t>
  </si>
  <si>
    <t>Total de recursos do FUNDEB registrados para o município no ano.</t>
  </si>
  <si>
    <t>Compare anos, estrutura do fundo e matrículas; o valor não é o orçamento total da educação municipal.</t>
  </si>
  <si>
    <t>Soma das receitas do FUNDEB registradas no demonstrativo anual.</t>
  </si>
  <si>
    <t>2017–2025; periodicidade anual</t>
  </si>
  <si>
    <t>Receitas e despesas do FUNDEB registradas no demonstrativo financeiro do município e publicadas pelo FNDE.</t>
  </si>
  <si>
    <t>https://www.gov.br/fnde/pt-br/acesso-a-informacao/acoes-e-programas/financiamento/fundeb/fundeb-home/
https://www.planalto.gov.br/ccivil_03/_ato2019-2022/2020/lei/l14113.htm</t>
  </si>
  <si>
    <t>A série preserva o período histórico e a estrutura do FUNDEB informados pela fonte; indicadores de remuneração em creche e pré-escola são exibidos a partir de 2021.</t>
  </si>
  <si>
    <t>despesa_remuneracao_profissionais</t>
  </si>
  <si>
    <t>Remuneração dos profissionais</t>
  </si>
  <si>
    <t>Valor aplicado na remuneração dos profissionais da educação básica com recursos do FUNDEB.</t>
  </si>
  <si>
    <t>Leia junto do percentual mínimo de remuneração e do período histórico.</t>
  </si>
  <si>
    <t>Soma dos pagamentos ou despesas de remuneração registrados no demonstrativo do FUNDEB.</t>
  </si>
  <si>
    <t>despesa_remuneracao_profissionais_ensino_fundamental</t>
  </si>
  <si>
    <t>Remuneração no ensino fundamental</t>
  </si>
  <si>
    <t>Parte da remuneração dos profissionais vinculada ao ensino fundamental.</t>
  </si>
  <si>
    <t>Não compare etapas sem considerar matrículas, jornada e estrutura da oferta.</t>
  </si>
  <si>
    <t>Despesa de remuneração do ensino fundamental informada no demonstrativo do FUNDEB.</t>
  </si>
  <si>
    <t>despesa_remuneracao_profissionais_ensino_infantil</t>
  </si>
  <si>
    <t>Remuneração na educação infantil</t>
  </si>
  <si>
    <t>Parte da remuneração dos profissionais vinculada à educação infantil.</t>
  </si>
  <si>
    <t>Considere as características da oferta e as séries históricas disponíveis.</t>
  </si>
  <si>
    <t>Despesa de remuneração da educação infantil informada no demonstrativo do FUNDEB.</t>
  </si>
  <si>
    <t>despesa_remuneracao_profissionais_creche</t>
  </si>
  <si>
    <t>Remuneração em creche</t>
  </si>
  <si>
    <t>Valor aplicado na remuneração dos profissionais que atuam em creche. Para este indicador, a série deve ser lida a partir de 2021.</t>
  </si>
  <si>
    <t>A série deve ser lida a partir de 2021, conforme a nota metodológica do painel.</t>
  </si>
  <si>
    <t>Valor informado para remuneração de profissionais de creche no demonstrativo do FUNDEB.</t>
  </si>
  <si>
    <t>2018, 2021, 2022, 2023, 2024, 2025; periodicidade anual</t>
  </si>
  <si>
    <t>despesa_remuneracao_profissionais_pre_escola</t>
  </si>
  <si>
    <t>Remuneração na pré-escola</t>
  </si>
  <si>
    <t>Valor aplicado na remuneração dos profissionais que atuam na pré-escola. Para este indicador, a série deve ser lida a partir de 2021.</t>
  </si>
  <si>
    <t>Valor informado para remuneração de profissionais de pré-escola no demonstrativo do FUNDEB.</t>
  </si>
  <si>
    <t>despesa_total_fundeb</t>
  </si>
  <si>
    <t>Despesa total do FUNDEB</t>
  </si>
  <si>
    <t>Total de despesas realizadas com recursos do FUNDEB no ano.</t>
  </si>
  <si>
    <t>Não confunda despesa do FUNDEB com toda a despesa municipal em educação.</t>
  </si>
  <si>
    <t>Soma das despesas do FUNDEB registradas no demonstrativo anual.</t>
  </si>
  <si>
    <t>percentual_minimo_remuneracao_profissionais</t>
  </si>
  <si>
    <t>Percentual aplicado em remuneração</t>
  </si>
  <si>
    <t>Percentual dos recursos do FUNDEB aplicado na remuneração dos profissionais da educação. Até 2020, o mínimo era 60%; desde 2021, passou a ser 70%.</t>
  </si>
  <si>
    <t>Mínimo de 60% até 2020 e de 70% desde 2021, conforme a estrutura histórica exibida.</t>
  </si>
  <si>
    <t>Despesa elegível de remuneração ÷ recursos do FUNDEB considerados pela regra × 100.</t>
  </si>
  <si>
    <t>disponibilidade_financeira_ano_anterior</t>
  </si>
  <si>
    <t>Saldo do ano anterior</t>
  </si>
  <si>
    <t>Saldo financeiro de recursos do FUNDEB vindo do exercício anterior.</t>
  </si>
  <si>
    <t>Leia com o calendário de repasses, despesas empenhadas e restos a pagar.</t>
  </si>
  <si>
    <t>Saldo do FUNDEB do exercício anterior informado no demonstrativo financeiro.</t>
  </si>
  <si>
    <t>ingresso_recursos_ate_bimestre</t>
  </si>
  <si>
    <t>Recursos recebidos no ano</t>
  </si>
  <si>
    <t>Total de recursos do FUNDEB recebidos pelo município ao longo do ano.</t>
  </si>
  <si>
    <t>Compare apenas períodos equivalentes e considere se o ano está completo.</t>
  </si>
  <si>
    <t>Soma dos ingressos do FUNDEB registrados até o período de referência.</t>
  </si>
  <si>
    <t>pagamentos_efetuados_ate_bimestre</t>
  </si>
  <si>
    <t>Pagamentos efetuados no ano</t>
  </si>
  <si>
    <t>Total de pagamentos realizados com recursos do FUNDEB ao longo do ano.</t>
  </si>
  <si>
    <t>Pagamento, empenho e despesa liquidada são conceitos contábeis diferentes; use a definição da fonte.</t>
  </si>
  <si>
    <t>Soma dos pagamentos do FUNDEB registrados até o período de referência.</t>
  </si>
  <si>
    <t>disponibilidade_financeira_ate_bimestre</t>
  </si>
  <si>
    <t>Disponibilidade financeira no fim do ano</t>
  </si>
  <si>
    <t>Valor financeiro disponível ao final do período analisado, após os ingressos e pagamentos registrados.</t>
  </si>
  <si>
    <t>A disponibilidade não é o resultado fiscal geral do município.</t>
  </si>
  <si>
    <t>Disponibilidade anterior + ingressos − pagamentos, conforme os registros do demonstrativo.</t>
  </si>
  <si>
    <t>saldo_financeiro_conciliado</t>
  </si>
  <si>
    <t>Saldo financeiro conciliado</t>
  </si>
  <si>
    <t>Saldo financeiro conciliado informado no demonstrativo do FUNDEB.</t>
  </si>
  <si>
    <t>Considere a data de referência e a documentação contábil que fundamenta o demonstrativo.</t>
  </si>
  <si>
    <t>Saldo conciliado conforme o demonstrativo financeiro do FUNDEB.</t>
  </si>
  <si>
    <t>PNATE</t>
  </si>
  <si>
    <t>Transporte escolar rural, estudantes e repasses</t>
  </si>
  <si>
    <t>Indicador financeiro — PNATE</t>
  </si>
  <si>
    <t>repasse_total</t>
  </si>
  <si>
    <t>Repasse total</t>
  </si>
  <si>
    <t>Valor total previsto ou registrado para o PNATE no município no exercício.</t>
  </si>
  <si>
    <t>Regra do programa, quando aplicável</t>
  </si>
  <si>
    <t>Não representa necessariamente o custo total do transporte municipal.</t>
  </si>
  <si>
    <t>Valor de repasse calculado ou registrado pelo FNDE para o exercício.</t>
  </si>
  <si>
    <t>2024–2026; periodicidade anual</t>
  </si>
  <si>
    <t>Registros de repasse e atendimento do PNATE/FNDE, com informações declaradas ou consideradas para o município.</t>
  </si>
  <si>
    <t>https://www.gov.br/fnde/pt-br/acesso-a-informacao/acoes-e-programas/programas/pnate</t>
  </si>
  <si>
    <t>Os arquivos do PNATE podem alternar entre previsão/plano de atendimento e atendimento anual conforme o exercício.</t>
  </si>
  <si>
    <t>repasse_autorizado_apos_desconto</t>
  </si>
  <si>
    <t>Repasse autorizado após desconto</t>
  </si>
  <si>
    <t>Valor do repasse após descontos e regras de autorização informadas pelo FNDE.</t>
  </si>
  <si>
    <t>Leia os avisos do exercício antes de comparar com o repasse total.</t>
  </si>
  <si>
    <t>Repasse total − descontos e ajustes aplicáveis ao exercício.</t>
  </si>
  <si>
    <t>resultado_per_capita</t>
  </si>
  <si>
    <t>Valor per capita</t>
  </si>
  <si>
    <t>Resultado per capita usado no cálculo do atendimento do PNATE.</t>
  </si>
  <si>
    <t>O valor per capita é definido para o programa e pode variar conforme o exercício.</t>
  </si>
  <si>
    <t>Repasse calculado ÷ estudantes considerados, conforme a regra do programa.</t>
  </si>
  <si>
    <t>total_alunos</t>
  </si>
  <si>
    <t>Estudantes atendidos</t>
  </si>
  <si>
    <t>Total de estudantes considerados no cálculo do PNATE.</t>
  </si>
  <si>
    <t>Estudantes considerados não equivalem necessariamente a estudantes únicos transportados durante todo o ano.</t>
  </si>
  <si>
    <t>Quantidade de estudantes considerada pelo FNDE a partir dos registros do programa e do Censo Escolar.</t>
  </si>
  <si>
    <t>total_alunos_rede_municipal</t>
  </si>
  <si>
    <t>Estudantes da rede municipal</t>
  </si>
  <si>
    <t>Total de estudantes da rede municipal considerados no PNATE.</t>
  </si>
  <si>
    <t>Compare anos e redes apenas quando a cobertura do registro for equivalente.</t>
  </si>
  <si>
    <t>Quantidade de estudantes da rede municipal presente no registro do programa.</t>
  </si>
  <si>
    <t>total_alunos_rede_estadual</t>
  </si>
  <si>
    <t>Estudantes da rede estadual</t>
  </si>
  <si>
    <t>Total de estudantes da rede estadual considerados no PNATE.</t>
  </si>
  <si>
    <t>A presença de estudantes da rede estadual não transforma o repasse em despesa municipal total.</t>
  </si>
  <si>
    <t>Quantidade de estudantes da rede estadual presente no registro do programa.</t>
  </si>
  <si>
    <t>desconto</t>
  </si>
  <si>
    <t>Desconto</t>
  </si>
  <si>
    <t>Valor descontado do repasse no exercício.</t>
  </si>
  <si>
    <t>Consulte o aviso e a regra do exercício antes de interpretar o desconto.</t>
  </si>
  <si>
    <t>Desconto informado no registro de repasse do PNATE.</t>
  </si>
  <si>
    <t>saldo_desconsiderado</t>
  </si>
  <si>
    <t>Saldo desconsiderado</t>
  </si>
  <si>
    <t>Saldo informado pela fonte que foi desconsiderado no cálculo do repasse.</t>
  </si>
  <si>
    <t>Não trate o saldo desconsiderado como novo repasse ou como custo evitado.</t>
  </si>
  <si>
    <t>Saldo desconsiderado registrado pelo FNDE para o exercício.</t>
  </si>
  <si>
    <t>valor_total_municipal</t>
  </si>
  <si>
    <t>Valor total municipal</t>
  </si>
  <si>
    <t>Valor direcionado à rede municipal quando disponível no leiaute da fonte.</t>
  </si>
  <si>
    <t>A disponibilidade dessa abertura depende do leiaute e da cobertura do exercício.</t>
  </si>
  <si>
    <t>Valor destinado à rede municipal conforme o registro de distribuição do PNATE.</t>
  </si>
  <si>
    <t>2025–2026; periodicidade anual</t>
  </si>
  <si>
    <t>valor_total_estadual</t>
  </si>
  <si>
    <t>Valor total estadual</t>
  </si>
  <si>
    <t>Valor direcionado à rede estadual/SEDUC quando disponível no leiaute da fonte.</t>
  </si>
  <si>
    <t>Valor destinado à rede estadual conforme o registro de distribuição do PNATE.</t>
  </si>
  <si>
    <t>Complementação VAAR</t>
  </si>
  <si>
    <t>Condicionalidades e distribuição</t>
  </si>
  <si>
    <t>Indicador financeiro/educacional — VAAR</t>
  </si>
  <si>
    <t>habilitado_condicionalidades</t>
  </si>
  <si>
    <t>Habilitação nas condicionalidades</t>
  </si>
  <si>
    <t>Situação de habilitação da rede nas condicionalidades exigidas para concorrer ao VAAR.</t>
  </si>
  <si>
    <t>Regra anual do VAAR, quando aplicável</t>
  </si>
  <si>
    <t>As condicionalidades são definidas para cada ciclo e devem ser lidas no exercício correspondente.</t>
  </si>
  <si>
    <t>Resultado booleano ou categórico informado no registro de condicionalidades do exercício.</t>
  </si>
  <si>
    <t>2023–2026; componentes e anos-base variam conforme a metodologia do exercício</t>
  </si>
  <si>
    <t>Registros do VAAR/FUNDEB, FNDE e bases educacionais relacionadas.</t>
  </si>
  <si>
    <t>Exercícios e componentes podem seguir regras e metodologias diferentes; a interpretação deve respeitar o ano e a cobertura do registro.</t>
  </si>
  <si>
    <t>Aprendizagem com equidade</t>
  </si>
  <si>
    <t>recebe_aprendizagem</t>
  </si>
  <si>
    <t>Recebimento do componente de aprendizagem</t>
  </si>
  <si>
    <t>Indicação de recebimento do componente VAAR associado à aprendizagem com equidade.</t>
  </si>
  <si>
    <t>A regra e a metodologia devem ser observadas por exercício e componente.</t>
  </si>
  <si>
    <t>Resultado de recebimento informado após a aplicação das regras de habilitação e evolução do componente.</t>
  </si>
  <si>
    <t>Atendimento</t>
  </si>
  <si>
    <t>recebe_atendimento</t>
  </si>
  <si>
    <t>Recebimento do componente de atendimento</t>
  </si>
  <si>
    <t>Indicação de recebimento do componente VAAR associado ao atendimento.</t>
  </si>
  <si>
    <t>Resultado de recebimento informado após a aplicação das regras do componente.</t>
  </si>
  <si>
    <t>indicador_aprendizagem</t>
  </si>
  <si>
    <t>Indicador de aprendizagem</t>
  </si>
  <si>
    <t>Indicador de evolução da aprendizagem com equidade usado na composição do VAAR.</t>
  </si>
  <si>
    <t>Não é uma nota geral da rede; depende da metodologia, da cobertura e do período oficial.</t>
  </si>
  <si>
    <t>Índice composto conforme metodologia oficial do VAAR para o exercício.</t>
  </si>
  <si>
    <t>indicador_atendimento</t>
  </si>
  <si>
    <t>Indicador de atendimento</t>
  </si>
  <si>
    <t>Indicador de evolução do atendimento usado na composição do VAAR.</t>
  </si>
  <si>
    <t>Considere abandono, completude dos registros e a cobertura informada pela fonte.</t>
  </si>
  <si>
    <t>coeficiente_total</t>
  </si>
  <si>
    <t>Coeficiente de distribuição total</t>
  </si>
  <si>
    <t>Coeficiente total de distribuição da complementação VAAR no exercício.</t>
  </si>
  <si>
    <t>Compare apenas exercícios com metodologia e unidade equivalentes.</t>
  </si>
  <si>
    <t>Coeficiente de distribuição conforme os indicadores e ponderadores oficiais do exercício.</t>
  </si>
  <si>
    <t>proporcao_abandono</t>
  </si>
  <si>
    <t>Proporção de abandono</t>
  </si>
  <si>
    <t>Proporção de abandono observada no componente de atendimento.</t>
  </si>
  <si>
    <t>Menor abandono é mais favorável, mas a leitura depende da série e da completude dos registros.</t>
  </si>
  <si>
    <t>Abandonos ÷ estudantes considerados no denominador do componente × 100.</t>
  </si>
  <si>
    <t>proporcao_sem_informacao</t>
  </si>
  <si>
    <t>Proporção sem informação de rendimento/movimento</t>
  </si>
  <si>
    <t>Proporção de registros sem informação no componente de atendimento.</t>
  </si>
  <si>
    <t>Uma proporção maior pode reduzir a comparabilidade e deve ser lida como limitação de registro.</t>
  </si>
  <si>
    <t>Registros sem informação ÷ registros considerados no componente × 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</si>
</sst>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8"/>
      <color rgb="FFFFFFFF"/>
      <name val="Aptos Display"/>
    </font>
    <font>
      <sz val="10"/>
      <color rgb="FF24465C"/>
      <name val="Aptos"/>
    </font>
    <font>
      <b/>
      <sz val="10"/>
      <color rgb="FF0F5132"/>
      <name val="Aptos"/>
    </font>
    <font>
      <b/>
      <sz val="13"/>
      <color rgb="FFFFFFFF"/>
      <name val="Aptos Display"/>
    </font>
    <font>
      <i/>
      <sz val="9"/>
      <color rgb="FF6B4F00"/>
      <name val="Aptos"/>
    </font>
    <font>
      <sz val="9"/>
      <color rgb="FF1F2937"/>
      <name val="Aptos"/>
    </font>
    <font>
      <b/>
      <sz val="9"/>
      <color rgb="FFFFFFFF"/>
      <name val="Aptos"/>
    </font>
  </fonts>
  <fills count="10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E8F1F5"/>
      </patternFill>
    </fill>
    <fill>
      <patternFill patternType="solid">
        <fgColor rgb="FFD7ECE8"/>
      </patternFill>
    </fill>
    <fill>
      <patternFill patternType="solid">
        <fgColor rgb="FF0F766E"/>
      </patternFill>
    </fill>
    <fill>
      <patternFill patternType="solid">
        <fgColor rgb="FFFFF4D6"/>
      </patternFill>
    </fill>
    <fill>
      <patternFill patternType="solid">
        <fgColor rgb="FF24465C"/>
      </patternFill>
    </fill>
    <fill>
      <patternFill patternType="solid">
        <fgColor rgb="FFFFFFFF"/>
      </patternFill>
    </fill>
    <fill>
      <patternFill patternType="solid">
        <fgColor rgb="FFE7F4F8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F766E"/>
      </bottom>
      <diagonal/>
    </border>
    <border>
      <left/>
      <right/>
      <top/>
      <bottom style="thin">
        <color rgb="FFD8E1E7"/>
      </bottom>
      <diagonal/>
    </border>
    <border>
      <left/>
      <right/>
      <top style="thin">
        <color rgb="FFD8E1E7"/>
      </top>
      <bottom style="thin">
        <color rgb="FFD8E1E7"/>
      </bottom>
      <diagonal/>
    </border>
    <border>
      <left/>
      <right/>
      <top style="thin">
        <color rgb="FFD8E1E7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" fontId="4" fillId="5" borderId="0" xfId="0" applyNumberFormat="1" applyFont="1" applyFill="1" applyAlignment="1">
      <alignment horizontal="center" vertical="center"/>
    </xf>
    <xf numFmtId="0" fontId="7" fillId="7" borderId="1" xfId="0" applyFont="1" applyFill="1" applyBorder="1" applyAlignment="1">
      <alignment horizontal="left" vertical="center" wrapText="1"/>
    </xf>
    <xf numFmtId="0" fontId="0" fillId="8" borderId="0" xfId="0" applyFill="1"/>
    <xf numFmtId="0" fontId="6" fillId="9" borderId="2" xfId="0" applyFont="1" applyFill="1" applyBorder="1" applyAlignment="1">
      <alignment vertical="top" wrapText="1"/>
    </xf>
    <xf numFmtId="0" fontId="6" fillId="8" borderId="3" xfId="0" applyFont="1" applyFill="1" applyBorder="1" applyAlignment="1">
      <alignment vertical="top" wrapText="1"/>
    </xf>
    <xf numFmtId="0" fontId="6" fillId="9" borderId="3" xfId="0" applyFont="1" applyFill="1" applyBorder="1" applyAlignment="1">
      <alignment vertical="top" wrapText="1"/>
    </xf>
    <xf numFmtId="0" fontId="6" fillId="9" borderId="4" xfId="0" applyFont="1" applyFill="1" applyBorder="1" applyAlignment="1">
      <alignment vertical="top" wrapText="1"/>
    </xf>
    <xf numFmtId="0" fontId="6" fillId="9" borderId="2" xfId="0" applyFont="1" applyFill="1" applyBorder="1" applyAlignment="1">
      <alignment horizontal="center" vertical="top" wrapText="1"/>
    </xf>
    <xf numFmtId="0" fontId="6" fillId="8" borderId="3" xfId="0" applyFont="1" applyFill="1" applyBorder="1" applyAlignment="1">
      <alignment horizontal="center" vertical="top" wrapText="1"/>
    </xf>
    <xf numFmtId="0" fontId="6" fillId="9" borderId="3" xfId="0" applyFont="1" applyFill="1" applyBorder="1" applyAlignment="1">
      <alignment horizontal="center" vertical="top" wrapText="1"/>
    </xf>
    <xf numFmtId="0" fontId="6" fillId="9" borderId="4" xfId="0" applyFont="1" applyFill="1" applyBorder="1" applyAlignment="1">
      <alignment horizontal="center" vertical="top" wrapText="1"/>
    </xf>
    <xf numFmtId="0" fontId="6" fillId="8" borderId="4" xfId="0" applyFont="1" applyFill="1" applyBorder="1" applyAlignment="1">
      <alignment vertical="top" wrapText="1"/>
    </xf>
    <xf numFmtId="0" fontId="6" fillId="8" borderId="4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horizontal="right" vertical="center"/>
    </xf>
    <xf numFmtId="0" fontId="5" fillId="6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PNEs" displayName="TabelaPNEs" ref="A5:M78" totalsRowShown="0">
  <autoFilter ref="A5:M78" xr:uid="{00000000-0009-0000-0100-000001000000}"/>
  <tableColumns count="13">
    <tableColumn id="1" xr3:uid="{00000000-0010-0000-0000-000001000000}" name="Aba / ciclo / módulo"/>
    <tableColumn id="2" xr3:uid="{00000000-0010-0000-0000-000002000000}" name="Seção / categoria"/>
    <tableColumn id="3" xr3:uid="{00000000-0010-0000-0000-000003000000}" name="Tipo"/>
    <tableColumn id="5" xr3:uid="{00000000-0010-0000-0000-000005000000}" name="Indicador"/>
    <tableColumn id="6" xr3:uid="{00000000-0010-0000-0000-000006000000}" name="Descrição"/>
    <tableColumn id="7" xr3:uid="{00000000-0010-0000-0000-000007000000}" name="Meta relacionada"/>
    <tableColumn id="8" xr3:uid="{00000000-0010-0000-0000-000008000000}" name="Texto / referência da meta"/>
    <tableColumn id="9" xr3:uid="{00000000-0010-0000-0000-000009000000}" name="Como foi construído"/>
    <tableColumn id="10" xr3:uid="{00000000-0010-0000-0000-00000A000000}" name="Período de análise"/>
    <tableColumn id="11" xr3:uid="{00000000-0010-0000-0000-00000B000000}" name="Indicadores / dados de apoio da meta"/>
    <tableColumn id="13" xr3:uid="{00000000-0010-0000-0000-00000D000000}" name="Fonte"/>
    <tableColumn id="14" xr3:uid="{00000000-0010-0000-0000-00000E000000}" name="URL oficial"/>
    <tableColumn id="15" xr3:uid="{00000000-0010-0000-0000-00000F000000}" name="Observações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Educacao" displayName="TabelaEducacao" ref="A5:L65" totalsRowShown="0">
  <autoFilter ref="A5:L65" xr:uid="{00000000-0009-0000-0100-000002000000}"/>
  <tableColumns count="12">
    <tableColumn id="1" xr3:uid="{00000000-0010-0000-0100-000001000000}" name="Aba / ciclo / módulo"/>
    <tableColumn id="2" xr3:uid="{00000000-0010-0000-0100-000002000000}" name="Seção / categoria"/>
    <tableColumn id="3" xr3:uid="{00000000-0010-0000-0100-000003000000}" name="Tipo"/>
    <tableColumn id="5" xr3:uid="{00000000-0010-0000-0100-000005000000}" name="Indicador"/>
    <tableColumn id="6" xr3:uid="{00000000-0010-0000-0100-000006000000}" name="Descrição"/>
    <tableColumn id="9" xr3:uid="{00000000-0010-0000-0100-000009000000}" name="Como foi construído"/>
    <tableColumn id="10" xr3:uid="{00000000-0010-0000-0100-00000A000000}" name="Período de análise"/>
    <tableColumn id="11" xr3:uid="{00000000-0010-0000-0100-00000B000000}" name="Indicadores / dados de apoio da meta"/>
    <tableColumn id="12" xr3:uid="{00000000-0010-0000-0100-00000C000000}" name="Período dos dados de apoio"/>
    <tableColumn id="13" xr3:uid="{00000000-0010-0000-0100-00000D000000}" name="Fonte"/>
    <tableColumn id="14" xr3:uid="{00000000-0010-0000-0100-00000E000000}" name="URL oficial"/>
    <tableColumn id="15" xr3:uid="{00000000-0010-0000-0100-00000F000000}" name="Observações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Financiamento" displayName="TabelaFinanciamento" ref="A5:M50" totalsRowShown="0">
  <autoFilter ref="A5:M50" xr:uid="{00000000-0009-0000-0100-000003000000}"/>
  <tableColumns count="13">
    <tableColumn id="1" xr3:uid="{00000000-0010-0000-0200-000001000000}" name="Aba / ciclo / módulo"/>
    <tableColumn id="2" xr3:uid="{00000000-0010-0000-0200-000002000000}" name="Seção / categoria"/>
    <tableColumn id="3" xr3:uid="{00000000-0010-0000-0200-000003000000}" name="Tipo"/>
    <tableColumn id="4" xr3:uid="{00000000-0010-0000-0200-000004000000}" name="Código"/>
    <tableColumn id="5" xr3:uid="{00000000-0010-0000-0200-000005000000}" name="Indicador"/>
    <tableColumn id="6" xr3:uid="{00000000-0010-0000-0200-000006000000}" name="Descrição"/>
    <tableColumn id="7" xr3:uid="{00000000-0010-0000-0200-000007000000}" name="Meta relacionada"/>
    <tableColumn id="8" xr3:uid="{00000000-0010-0000-0200-000008000000}" name="Texto / referência da meta"/>
    <tableColumn id="9" xr3:uid="{00000000-0010-0000-0200-000009000000}" name="Como foi construído"/>
    <tableColumn id="10" xr3:uid="{00000000-0010-0000-0200-00000A000000}" name="Período de análise"/>
    <tableColumn id="13" xr3:uid="{00000000-0010-0000-0200-00000D000000}" name="Fonte"/>
    <tableColumn id="14" xr3:uid="{00000000-0010-0000-0200-00000E000000}" name="URL oficial"/>
    <tableColumn id="15" xr3:uid="{00000000-0010-0000-0200-00000F000000}" name="Observaçõe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8"/>
  <sheetViews>
    <sheetView showGridLines="0" workbookViewId="0">
      <selection activeCell="D4" sqref="D1:D1048576"/>
    </sheetView>
  </sheetViews>
  <sheetFormatPr defaultRowHeight="14.25"/>
  <cols>
    <col min="1" max="2" width="24" customWidth="1"/>
    <col min="3" max="3" width="21" customWidth="1"/>
    <col min="4" max="4" width="34" customWidth="1"/>
    <col min="5" max="5" width="42" customWidth="1"/>
    <col min="6" max="6" width="30" customWidth="1"/>
    <col min="7" max="8" width="52" customWidth="1"/>
    <col min="9" max="9" width="24" customWidth="1"/>
    <col min="10" max="10" width="52" customWidth="1"/>
    <col min="11" max="12" width="42" customWidth="1"/>
    <col min="13" max="13" width="48" customWidth="1"/>
  </cols>
  <sheetData>
    <row r="1" spans="1:13" ht="33.950000000000003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32.1" customHeight="1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6" t="s">
        <v>2</v>
      </c>
      <c r="L2" s="16"/>
      <c r="M2" s="1">
        <f>COUNTA(#REF!)</f>
        <v>1</v>
      </c>
    </row>
    <row r="3" spans="1:13" ht="27.95" customHeight="1">
      <c r="A3" s="17" t="s">
        <v>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42" customHeight="1" thickBot="1">
      <c r="A5" s="2" t="s">
        <v>4</v>
      </c>
      <c r="B5" s="2" t="s">
        <v>5</v>
      </c>
      <c r="C5" s="2" t="s">
        <v>6</v>
      </c>
      <c r="D5" s="2" t="s">
        <v>8</v>
      </c>
      <c r="E5" s="2" t="s">
        <v>9</v>
      </c>
      <c r="F5" s="2" t="s">
        <v>10</v>
      </c>
      <c r="G5" s="2" t="s">
        <v>11</v>
      </c>
      <c r="H5" s="2" t="s">
        <v>12</v>
      </c>
      <c r="I5" s="2" t="s">
        <v>13</v>
      </c>
      <c r="J5" s="2" t="s">
        <v>14</v>
      </c>
      <c r="K5" s="2" t="s">
        <v>16</v>
      </c>
      <c r="L5" s="2" t="s">
        <v>17</v>
      </c>
      <c r="M5" s="2" t="s">
        <v>18</v>
      </c>
    </row>
    <row r="6" spans="1:13" ht="80.099999999999994" customHeight="1">
      <c r="A6" s="4" t="s">
        <v>19</v>
      </c>
      <c r="B6" s="4" t="s">
        <v>20</v>
      </c>
      <c r="C6" s="4" t="s">
        <v>21</v>
      </c>
      <c r="D6" s="4" t="s">
        <v>22</v>
      </c>
      <c r="E6" s="4" t="s">
        <v>23</v>
      </c>
      <c r="F6" s="4" t="s">
        <v>24</v>
      </c>
      <c r="G6" s="4" t="s">
        <v>25</v>
      </c>
      <c r="H6" s="4" t="s">
        <v>26</v>
      </c>
      <c r="I6" s="8" t="s">
        <v>27</v>
      </c>
      <c r="J6" s="4" t="s">
        <v>28</v>
      </c>
      <c r="K6" s="4" t="s">
        <v>29</v>
      </c>
      <c r="L6" s="4" t="s">
        <v>30</v>
      </c>
      <c r="M6" s="4" t="s">
        <v>31</v>
      </c>
    </row>
    <row r="7" spans="1:13" ht="80.099999999999994" customHeight="1">
      <c r="A7" s="5" t="s">
        <v>19</v>
      </c>
      <c r="B7" s="5" t="s">
        <v>20</v>
      </c>
      <c r="C7" s="5" t="s">
        <v>21</v>
      </c>
      <c r="D7" s="5" t="s">
        <v>32</v>
      </c>
      <c r="E7" s="5" t="s">
        <v>33</v>
      </c>
      <c r="F7" s="5" t="s">
        <v>24</v>
      </c>
      <c r="G7" s="5" t="s">
        <v>25</v>
      </c>
      <c r="H7" s="5" t="s">
        <v>34</v>
      </c>
      <c r="I7" s="9" t="s">
        <v>27</v>
      </c>
      <c r="J7" s="5" t="s">
        <v>35</v>
      </c>
      <c r="K7" s="5" t="s">
        <v>29</v>
      </c>
      <c r="L7" s="5" t="s">
        <v>30</v>
      </c>
      <c r="M7" s="5" t="s">
        <v>31</v>
      </c>
    </row>
    <row r="8" spans="1:13" ht="80.099999999999994" customHeight="1">
      <c r="A8" s="6" t="s">
        <v>19</v>
      </c>
      <c r="B8" s="6" t="s">
        <v>20</v>
      </c>
      <c r="C8" s="6" t="s">
        <v>21</v>
      </c>
      <c r="D8" s="6" t="s">
        <v>36</v>
      </c>
      <c r="E8" s="6" t="s">
        <v>37</v>
      </c>
      <c r="F8" s="6" t="s">
        <v>38</v>
      </c>
      <c r="G8" s="6" t="s">
        <v>39</v>
      </c>
      <c r="H8" s="6" t="s">
        <v>40</v>
      </c>
      <c r="I8" s="10" t="s">
        <v>27</v>
      </c>
      <c r="J8" s="6" t="s">
        <v>41</v>
      </c>
      <c r="K8" s="6" t="s">
        <v>29</v>
      </c>
      <c r="L8" s="6" t="s">
        <v>30</v>
      </c>
      <c r="M8" s="6" t="s">
        <v>31</v>
      </c>
    </row>
    <row r="9" spans="1:13" ht="92.1" customHeight="1">
      <c r="A9" s="5" t="s">
        <v>19</v>
      </c>
      <c r="B9" s="5" t="s">
        <v>20</v>
      </c>
      <c r="C9" s="5" t="s">
        <v>21</v>
      </c>
      <c r="D9" s="5" t="s">
        <v>42</v>
      </c>
      <c r="E9" s="5" t="s">
        <v>43</v>
      </c>
      <c r="F9" s="5" t="s">
        <v>44</v>
      </c>
      <c r="G9" s="5" t="s">
        <v>45</v>
      </c>
      <c r="H9" s="5" t="s">
        <v>46</v>
      </c>
      <c r="I9" s="9" t="s">
        <v>27</v>
      </c>
      <c r="J9" s="5" t="s">
        <v>47</v>
      </c>
      <c r="K9" s="5" t="s">
        <v>29</v>
      </c>
      <c r="L9" s="5" t="s">
        <v>30</v>
      </c>
      <c r="M9" s="5" t="s">
        <v>31</v>
      </c>
    </row>
    <row r="10" spans="1:13" ht="80.099999999999994" customHeight="1">
      <c r="A10" s="6" t="s">
        <v>19</v>
      </c>
      <c r="B10" s="6" t="s">
        <v>20</v>
      </c>
      <c r="C10" s="6" t="s">
        <v>21</v>
      </c>
      <c r="D10" s="6" t="s">
        <v>48</v>
      </c>
      <c r="E10" s="6" t="s">
        <v>49</v>
      </c>
      <c r="F10" s="6" t="s">
        <v>50</v>
      </c>
      <c r="G10" s="6" t="s">
        <v>51</v>
      </c>
      <c r="H10" s="6" t="s">
        <v>52</v>
      </c>
      <c r="I10" s="10" t="s">
        <v>27</v>
      </c>
      <c r="J10" s="6" t="s">
        <v>53</v>
      </c>
      <c r="K10" s="6" t="s">
        <v>54</v>
      </c>
      <c r="L10" s="6" t="s">
        <v>55</v>
      </c>
      <c r="M10" s="6" t="s">
        <v>56</v>
      </c>
    </row>
    <row r="11" spans="1:13" ht="80.099999999999994" customHeight="1">
      <c r="A11" s="5" t="s">
        <v>19</v>
      </c>
      <c r="B11" s="5" t="s">
        <v>20</v>
      </c>
      <c r="C11" s="5" t="s">
        <v>21</v>
      </c>
      <c r="D11" s="5" t="s">
        <v>57</v>
      </c>
      <c r="E11" s="5" t="s">
        <v>58</v>
      </c>
      <c r="F11" s="5" t="s">
        <v>50</v>
      </c>
      <c r="G11" s="5" t="s">
        <v>51</v>
      </c>
      <c r="H11" s="5" t="s">
        <v>59</v>
      </c>
      <c r="I11" s="9" t="s">
        <v>27</v>
      </c>
      <c r="J11" s="5" t="s">
        <v>60</v>
      </c>
      <c r="K11" s="5" t="s">
        <v>54</v>
      </c>
      <c r="L11" s="5" t="s">
        <v>55</v>
      </c>
      <c r="M11" s="5" t="s">
        <v>56</v>
      </c>
    </row>
    <row r="12" spans="1:13" ht="116.1" customHeight="1">
      <c r="A12" s="6" t="s">
        <v>19</v>
      </c>
      <c r="B12" s="6" t="s">
        <v>20</v>
      </c>
      <c r="C12" s="6" t="s">
        <v>21</v>
      </c>
      <c r="D12" s="6" t="s">
        <v>61</v>
      </c>
      <c r="E12" s="6" t="s">
        <v>62</v>
      </c>
      <c r="F12" s="6" t="s">
        <v>63</v>
      </c>
      <c r="G12" s="6" t="s">
        <v>64</v>
      </c>
      <c r="H12" s="6" t="s">
        <v>65</v>
      </c>
      <c r="I12" s="10" t="s">
        <v>27</v>
      </c>
      <c r="J12" s="6" t="s">
        <v>66</v>
      </c>
      <c r="K12" s="6" t="s">
        <v>67</v>
      </c>
      <c r="L12" s="6" t="s">
        <v>55</v>
      </c>
      <c r="M12" s="6"/>
    </row>
    <row r="13" spans="1:13" ht="68.099999999999994" customHeight="1">
      <c r="A13" s="5" t="s">
        <v>19</v>
      </c>
      <c r="B13" s="5" t="s">
        <v>20</v>
      </c>
      <c r="C13" s="5" t="s">
        <v>68</v>
      </c>
      <c r="D13" s="5" t="s">
        <v>69</v>
      </c>
      <c r="E13" s="5" t="s">
        <v>70</v>
      </c>
      <c r="F13" s="5" t="s">
        <v>71</v>
      </c>
      <c r="G13" s="5" t="s">
        <v>72</v>
      </c>
      <c r="H13" s="5" t="s">
        <v>70</v>
      </c>
      <c r="I13" s="9" t="s">
        <v>27</v>
      </c>
      <c r="J13" s="5" t="s">
        <v>73</v>
      </c>
      <c r="K13" s="5" t="s">
        <v>54</v>
      </c>
      <c r="L13" s="5" t="s">
        <v>55</v>
      </c>
      <c r="M13" s="5" t="s">
        <v>74</v>
      </c>
    </row>
    <row r="14" spans="1:13" ht="80.099999999999994" customHeight="1">
      <c r="A14" s="6" t="s">
        <v>19</v>
      </c>
      <c r="B14" s="6" t="s">
        <v>20</v>
      </c>
      <c r="C14" s="6" t="s">
        <v>21</v>
      </c>
      <c r="D14" s="6" t="s">
        <v>75</v>
      </c>
      <c r="E14" s="6" t="s">
        <v>76</v>
      </c>
      <c r="F14" s="6" t="s">
        <v>71</v>
      </c>
      <c r="G14" s="6" t="s">
        <v>72</v>
      </c>
      <c r="H14" s="6" t="s">
        <v>77</v>
      </c>
      <c r="I14" s="10" t="s">
        <v>27</v>
      </c>
      <c r="J14" s="6" t="s">
        <v>78</v>
      </c>
      <c r="K14" s="6" t="s">
        <v>54</v>
      </c>
      <c r="L14" s="6" t="s">
        <v>55</v>
      </c>
      <c r="M14" s="6" t="s">
        <v>56</v>
      </c>
    </row>
    <row r="15" spans="1:13" ht="68.099999999999994" customHeight="1">
      <c r="A15" s="5" t="s">
        <v>19</v>
      </c>
      <c r="B15" s="5" t="s">
        <v>20</v>
      </c>
      <c r="C15" s="5" t="s">
        <v>68</v>
      </c>
      <c r="D15" s="5" t="s">
        <v>79</v>
      </c>
      <c r="E15" s="5" t="s">
        <v>80</v>
      </c>
      <c r="F15" s="5" t="s">
        <v>71</v>
      </c>
      <c r="G15" s="5" t="s">
        <v>72</v>
      </c>
      <c r="H15" s="5" t="s">
        <v>81</v>
      </c>
      <c r="I15" s="9" t="s">
        <v>82</v>
      </c>
      <c r="J15" s="5" t="s">
        <v>83</v>
      </c>
      <c r="K15" s="5" t="s">
        <v>54</v>
      </c>
      <c r="L15" s="5" t="s">
        <v>55</v>
      </c>
      <c r="M15" s="5" t="s">
        <v>84</v>
      </c>
    </row>
    <row r="16" spans="1:13" ht="66" customHeight="1">
      <c r="A16" s="6" t="s">
        <v>19</v>
      </c>
      <c r="B16" s="6" t="s">
        <v>85</v>
      </c>
      <c r="C16" s="6" t="s">
        <v>21</v>
      </c>
      <c r="D16" s="6" t="s">
        <v>86</v>
      </c>
      <c r="E16" s="6" t="s">
        <v>87</v>
      </c>
      <c r="F16" s="6" t="s">
        <v>88</v>
      </c>
      <c r="G16" s="6" t="s">
        <v>89</v>
      </c>
      <c r="H16" s="6" t="s">
        <v>87</v>
      </c>
      <c r="I16" s="10" t="s">
        <v>90</v>
      </c>
      <c r="J16" s="6" t="s">
        <v>91</v>
      </c>
      <c r="K16" s="6" t="s">
        <v>54</v>
      </c>
      <c r="L16" s="6" t="s">
        <v>93</v>
      </c>
      <c r="M16" s="6"/>
    </row>
    <row r="17" spans="1:13" ht="66" customHeight="1">
      <c r="A17" s="5" t="s">
        <v>19</v>
      </c>
      <c r="B17" s="5" t="s">
        <v>85</v>
      </c>
      <c r="C17" s="5" t="s">
        <v>21</v>
      </c>
      <c r="D17" s="5" t="s">
        <v>94</v>
      </c>
      <c r="E17" s="5" t="s">
        <v>95</v>
      </c>
      <c r="F17" s="5" t="s">
        <v>96</v>
      </c>
      <c r="G17" s="5" t="s">
        <v>97</v>
      </c>
      <c r="H17" s="5" t="s">
        <v>98</v>
      </c>
      <c r="I17" s="9" t="s">
        <v>99</v>
      </c>
      <c r="J17" s="5" t="s">
        <v>91</v>
      </c>
      <c r="K17" s="5" t="s">
        <v>100</v>
      </c>
      <c r="L17" s="5" t="s">
        <v>93</v>
      </c>
      <c r="M17" s="5"/>
    </row>
    <row r="18" spans="1:13" ht="66" customHeight="1">
      <c r="A18" s="6" t="s">
        <v>19</v>
      </c>
      <c r="B18" s="6" t="s">
        <v>85</v>
      </c>
      <c r="C18" s="6" t="s">
        <v>21</v>
      </c>
      <c r="D18" s="6" t="s">
        <v>101</v>
      </c>
      <c r="E18" s="6" t="s">
        <v>102</v>
      </c>
      <c r="F18" s="6" t="s">
        <v>96</v>
      </c>
      <c r="G18" s="6" t="s">
        <v>97</v>
      </c>
      <c r="H18" s="6" t="s">
        <v>103</v>
      </c>
      <c r="I18" s="10" t="s">
        <v>99</v>
      </c>
      <c r="J18" s="6" t="s">
        <v>91</v>
      </c>
      <c r="K18" s="6" t="s">
        <v>100</v>
      </c>
      <c r="L18" s="6" t="s">
        <v>93</v>
      </c>
      <c r="M18" s="6"/>
    </row>
    <row r="19" spans="1:13" ht="66" customHeight="1">
      <c r="A19" s="5" t="s">
        <v>19</v>
      </c>
      <c r="B19" s="5" t="s">
        <v>85</v>
      </c>
      <c r="C19" s="5" t="s">
        <v>21</v>
      </c>
      <c r="D19" s="5" t="s">
        <v>104</v>
      </c>
      <c r="E19" s="5" t="s">
        <v>105</v>
      </c>
      <c r="F19" s="5" t="s">
        <v>96</v>
      </c>
      <c r="G19" s="5" t="s">
        <v>97</v>
      </c>
      <c r="H19" s="5" t="s">
        <v>106</v>
      </c>
      <c r="I19" s="9" t="s">
        <v>107</v>
      </c>
      <c r="J19" s="5" t="s">
        <v>91</v>
      </c>
      <c r="K19" s="5" t="s">
        <v>100</v>
      </c>
      <c r="L19" s="5" t="s">
        <v>93</v>
      </c>
      <c r="M19" s="5"/>
    </row>
    <row r="20" spans="1:13" ht="66" customHeight="1">
      <c r="A20" s="6" t="s">
        <v>19</v>
      </c>
      <c r="B20" s="6" t="s">
        <v>108</v>
      </c>
      <c r="C20" s="6" t="s">
        <v>21</v>
      </c>
      <c r="D20" s="6" t="s">
        <v>109</v>
      </c>
      <c r="E20" s="6" t="s">
        <v>110</v>
      </c>
      <c r="F20" s="6" t="s">
        <v>111</v>
      </c>
      <c r="G20" s="6" t="s">
        <v>112</v>
      </c>
      <c r="H20" s="6" t="s">
        <v>110</v>
      </c>
      <c r="I20" s="10" t="s">
        <v>27</v>
      </c>
      <c r="J20" s="6" t="s">
        <v>113</v>
      </c>
      <c r="K20" s="6" t="s">
        <v>54</v>
      </c>
      <c r="L20" s="6" t="s">
        <v>55</v>
      </c>
      <c r="M20" s="6" t="s">
        <v>56</v>
      </c>
    </row>
    <row r="21" spans="1:13" ht="66" customHeight="1">
      <c r="A21" s="5" t="s">
        <v>19</v>
      </c>
      <c r="B21" s="5" t="s">
        <v>108</v>
      </c>
      <c r="C21" s="5" t="s">
        <v>21</v>
      </c>
      <c r="D21" s="5" t="s">
        <v>114</v>
      </c>
      <c r="E21" s="5" t="s">
        <v>115</v>
      </c>
      <c r="F21" s="5" t="s">
        <v>111</v>
      </c>
      <c r="G21" s="5" t="s">
        <v>112</v>
      </c>
      <c r="H21" s="5" t="s">
        <v>115</v>
      </c>
      <c r="I21" s="9" t="s">
        <v>27</v>
      </c>
      <c r="J21" s="5" t="s">
        <v>116</v>
      </c>
      <c r="K21" s="5" t="s">
        <v>54</v>
      </c>
      <c r="L21" s="5" t="s">
        <v>55</v>
      </c>
      <c r="M21" s="5" t="s">
        <v>56</v>
      </c>
    </row>
    <row r="22" spans="1:13" ht="66" customHeight="1">
      <c r="A22" s="6" t="s">
        <v>19</v>
      </c>
      <c r="B22" s="6" t="s">
        <v>108</v>
      </c>
      <c r="C22" s="6" t="s">
        <v>21</v>
      </c>
      <c r="D22" s="6" t="s">
        <v>117</v>
      </c>
      <c r="E22" s="6" t="s">
        <v>118</v>
      </c>
      <c r="F22" s="6" t="s">
        <v>111</v>
      </c>
      <c r="G22" s="6" t="s">
        <v>112</v>
      </c>
      <c r="H22" s="6" t="s">
        <v>118</v>
      </c>
      <c r="I22" s="10" t="s">
        <v>27</v>
      </c>
      <c r="J22" s="6" t="s">
        <v>119</v>
      </c>
      <c r="K22" s="6" t="s">
        <v>54</v>
      </c>
      <c r="L22" s="6" t="s">
        <v>55</v>
      </c>
      <c r="M22" s="6" t="s">
        <v>56</v>
      </c>
    </row>
    <row r="23" spans="1:13" ht="80.099999999999994" customHeight="1">
      <c r="A23" s="5" t="s">
        <v>19</v>
      </c>
      <c r="B23" s="5" t="s">
        <v>108</v>
      </c>
      <c r="C23" s="5" t="s">
        <v>21</v>
      </c>
      <c r="D23" s="5" t="s">
        <v>120</v>
      </c>
      <c r="E23" s="5" t="s">
        <v>121</v>
      </c>
      <c r="F23" s="5" t="s">
        <v>122</v>
      </c>
      <c r="G23" s="5" t="s">
        <v>123</v>
      </c>
      <c r="H23" s="5" t="s">
        <v>124</v>
      </c>
      <c r="I23" s="9" t="s">
        <v>27</v>
      </c>
      <c r="J23" s="5" t="s">
        <v>125</v>
      </c>
      <c r="K23" s="5" t="s">
        <v>54</v>
      </c>
      <c r="L23" s="5" t="s">
        <v>55</v>
      </c>
      <c r="M23" s="5"/>
    </row>
    <row r="24" spans="1:13" ht="68.099999999999994" customHeight="1">
      <c r="A24" s="6" t="s">
        <v>19</v>
      </c>
      <c r="B24" s="6" t="s">
        <v>108</v>
      </c>
      <c r="C24" s="6" t="s">
        <v>21</v>
      </c>
      <c r="D24" s="6" t="s">
        <v>126</v>
      </c>
      <c r="E24" s="6" t="s">
        <v>127</v>
      </c>
      <c r="F24" s="6" t="s">
        <v>128</v>
      </c>
      <c r="G24" s="6" t="s">
        <v>129</v>
      </c>
      <c r="H24" s="6" t="s">
        <v>127</v>
      </c>
      <c r="I24" s="10" t="s">
        <v>27</v>
      </c>
      <c r="J24" s="6" t="s">
        <v>91</v>
      </c>
      <c r="K24" s="6" t="s">
        <v>130</v>
      </c>
      <c r="L24" s="6" t="s">
        <v>131</v>
      </c>
      <c r="M24" s="6"/>
    </row>
    <row r="25" spans="1:13" ht="80.099999999999994" customHeight="1">
      <c r="A25" s="5" t="s">
        <v>19</v>
      </c>
      <c r="B25" s="5" t="s">
        <v>132</v>
      </c>
      <c r="C25" s="5" t="s">
        <v>21</v>
      </c>
      <c r="D25" s="5" t="s">
        <v>133</v>
      </c>
      <c r="E25" s="5" t="s">
        <v>134</v>
      </c>
      <c r="F25" s="5" t="s">
        <v>135</v>
      </c>
      <c r="G25" s="5" t="s">
        <v>136</v>
      </c>
      <c r="H25" s="5" t="s">
        <v>137</v>
      </c>
      <c r="I25" s="9" t="s">
        <v>138</v>
      </c>
      <c r="J25" s="5" t="s">
        <v>139</v>
      </c>
      <c r="K25" s="5" t="s">
        <v>140</v>
      </c>
      <c r="L25" s="5" t="s">
        <v>141</v>
      </c>
      <c r="M25" s="5" t="s">
        <v>142</v>
      </c>
    </row>
    <row r="26" spans="1:13" ht="80.099999999999994" customHeight="1">
      <c r="A26" s="6" t="s">
        <v>19</v>
      </c>
      <c r="B26" s="6" t="s">
        <v>132</v>
      </c>
      <c r="C26" s="6" t="s">
        <v>21</v>
      </c>
      <c r="D26" s="6" t="s">
        <v>143</v>
      </c>
      <c r="E26" s="6" t="s">
        <v>144</v>
      </c>
      <c r="F26" s="6" t="s">
        <v>44</v>
      </c>
      <c r="G26" s="6" t="s">
        <v>45</v>
      </c>
      <c r="H26" s="6" t="s">
        <v>145</v>
      </c>
      <c r="I26" s="10" t="s">
        <v>138</v>
      </c>
      <c r="J26" s="6" t="s">
        <v>146</v>
      </c>
      <c r="K26" s="6" t="s">
        <v>140</v>
      </c>
      <c r="L26" s="6" t="s">
        <v>141</v>
      </c>
      <c r="M26" s="6" t="s">
        <v>142</v>
      </c>
    </row>
    <row r="27" spans="1:13" ht="80.099999999999994" customHeight="1">
      <c r="A27" s="5" t="s">
        <v>19</v>
      </c>
      <c r="B27" s="5" t="s">
        <v>132</v>
      </c>
      <c r="C27" s="5" t="s">
        <v>21</v>
      </c>
      <c r="D27" s="5" t="s">
        <v>147</v>
      </c>
      <c r="E27" s="5" t="s">
        <v>148</v>
      </c>
      <c r="F27" s="5" t="s">
        <v>38</v>
      </c>
      <c r="G27" s="5" t="s">
        <v>39</v>
      </c>
      <c r="H27" s="5" t="s">
        <v>149</v>
      </c>
      <c r="I27" s="9" t="s">
        <v>138</v>
      </c>
      <c r="J27" s="5" t="s">
        <v>150</v>
      </c>
      <c r="K27" s="5" t="s">
        <v>140</v>
      </c>
      <c r="L27" s="5" t="s">
        <v>141</v>
      </c>
      <c r="M27" s="5" t="s">
        <v>142</v>
      </c>
    </row>
    <row r="28" spans="1:13" ht="66" customHeight="1">
      <c r="A28" s="6" t="s">
        <v>19</v>
      </c>
      <c r="B28" s="6" t="s">
        <v>132</v>
      </c>
      <c r="C28" s="6" t="s">
        <v>21</v>
      </c>
      <c r="D28" s="6" t="s">
        <v>151</v>
      </c>
      <c r="E28" s="6" t="s">
        <v>152</v>
      </c>
      <c r="F28" s="6" t="s">
        <v>153</v>
      </c>
      <c r="G28" s="6" t="s">
        <v>154</v>
      </c>
      <c r="H28" s="6" t="s">
        <v>155</v>
      </c>
      <c r="I28" s="10" t="s">
        <v>156</v>
      </c>
      <c r="J28" s="6" t="s">
        <v>157</v>
      </c>
      <c r="K28" s="6" t="s">
        <v>140</v>
      </c>
      <c r="L28" s="6" t="s">
        <v>141</v>
      </c>
      <c r="M28" s="6" t="s">
        <v>142</v>
      </c>
    </row>
    <row r="29" spans="1:13" ht="80.099999999999994" customHeight="1">
      <c r="A29" s="5" t="s">
        <v>19</v>
      </c>
      <c r="B29" s="5" t="s">
        <v>132</v>
      </c>
      <c r="C29" s="5" t="s">
        <v>21</v>
      </c>
      <c r="D29" s="5" t="s">
        <v>158</v>
      </c>
      <c r="E29" s="5" t="s">
        <v>159</v>
      </c>
      <c r="F29" s="5" t="s">
        <v>153</v>
      </c>
      <c r="G29" s="5" t="s">
        <v>154</v>
      </c>
      <c r="H29" s="5" t="s">
        <v>160</v>
      </c>
      <c r="I29" s="9" t="s">
        <v>156</v>
      </c>
      <c r="J29" s="5" t="s">
        <v>161</v>
      </c>
      <c r="K29" s="5" t="s">
        <v>140</v>
      </c>
      <c r="L29" s="5" t="s">
        <v>141</v>
      </c>
      <c r="M29" s="5" t="s">
        <v>142</v>
      </c>
    </row>
    <row r="30" spans="1:13" ht="104.1" customHeight="1">
      <c r="A30" s="6" t="s">
        <v>162</v>
      </c>
      <c r="B30" s="6" t="s">
        <v>20</v>
      </c>
      <c r="C30" s="6" t="s">
        <v>21</v>
      </c>
      <c r="D30" s="6" t="s">
        <v>22</v>
      </c>
      <c r="E30" s="6" t="s">
        <v>23</v>
      </c>
      <c r="F30" s="6" t="s">
        <v>163</v>
      </c>
      <c r="G30" s="6" t="s">
        <v>164</v>
      </c>
      <c r="H30" s="6" t="s">
        <v>26</v>
      </c>
      <c r="I30" s="10" t="s">
        <v>165</v>
      </c>
      <c r="J30" s="6" t="s">
        <v>166</v>
      </c>
      <c r="K30" s="6" t="s">
        <v>29</v>
      </c>
      <c r="L30" s="6" t="s">
        <v>167</v>
      </c>
      <c r="M30" s="6" t="s">
        <v>168</v>
      </c>
    </row>
    <row r="31" spans="1:13" ht="104.1" customHeight="1">
      <c r="A31" s="5" t="s">
        <v>162</v>
      </c>
      <c r="B31" s="5" t="s">
        <v>20</v>
      </c>
      <c r="C31" s="5" t="s">
        <v>21</v>
      </c>
      <c r="D31" s="5" t="s">
        <v>32</v>
      </c>
      <c r="E31" s="5" t="s">
        <v>33</v>
      </c>
      <c r="F31" s="5" t="s">
        <v>169</v>
      </c>
      <c r="G31" s="5" t="s">
        <v>170</v>
      </c>
      <c r="H31" s="5" t="s">
        <v>34</v>
      </c>
      <c r="I31" s="9" t="s">
        <v>165</v>
      </c>
      <c r="J31" s="5" t="s">
        <v>171</v>
      </c>
      <c r="K31" s="5" t="s">
        <v>29</v>
      </c>
      <c r="L31" s="5" t="s">
        <v>167</v>
      </c>
      <c r="M31" s="5" t="s">
        <v>168</v>
      </c>
    </row>
    <row r="32" spans="1:13" ht="104.1" customHeight="1">
      <c r="A32" s="6" t="s">
        <v>162</v>
      </c>
      <c r="B32" s="6" t="s">
        <v>20</v>
      </c>
      <c r="C32" s="6" t="s">
        <v>21</v>
      </c>
      <c r="D32" s="6" t="s">
        <v>36</v>
      </c>
      <c r="E32" s="6" t="s">
        <v>37</v>
      </c>
      <c r="F32" s="6" t="s">
        <v>172</v>
      </c>
      <c r="G32" s="6" t="s">
        <v>173</v>
      </c>
      <c r="H32" s="6" t="s">
        <v>40</v>
      </c>
      <c r="I32" s="10" t="s">
        <v>165</v>
      </c>
      <c r="J32" s="6" t="s">
        <v>174</v>
      </c>
      <c r="K32" s="6" t="s">
        <v>29</v>
      </c>
      <c r="L32" s="6" t="s">
        <v>167</v>
      </c>
      <c r="M32" s="6" t="s">
        <v>168</v>
      </c>
    </row>
    <row r="33" spans="1:13" ht="104.1" customHeight="1">
      <c r="A33" s="5" t="s">
        <v>162</v>
      </c>
      <c r="B33" s="5" t="s">
        <v>20</v>
      </c>
      <c r="C33" s="5" t="s">
        <v>21</v>
      </c>
      <c r="D33" s="5" t="s">
        <v>42</v>
      </c>
      <c r="E33" s="5" t="s">
        <v>43</v>
      </c>
      <c r="F33" s="5" t="s">
        <v>172</v>
      </c>
      <c r="G33" s="5" t="s">
        <v>173</v>
      </c>
      <c r="H33" s="5" t="s">
        <v>46</v>
      </c>
      <c r="I33" s="9" t="s">
        <v>165</v>
      </c>
      <c r="J33" s="5" t="s">
        <v>175</v>
      </c>
      <c r="K33" s="5" t="s">
        <v>29</v>
      </c>
      <c r="L33" s="5" t="s">
        <v>167</v>
      </c>
      <c r="M33" s="5" t="s">
        <v>168</v>
      </c>
    </row>
    <row r="34" spans="1:13" ht="140.1" customHeight="1">
      <c r="A34" s="6" t="s">
        <v>162</v>
      </c>
      <c r="B34" s="6" t="s">
        <v>20</v>
      </c>
      <c r="C34" s="6" t="s">
        <v>21</v>
      </c>
      <c r="D34" s="6" t="s">
        <v>48</v>
      </c>
      <c r="E34" s="6" t="s">
        <v>49</v>
      </c>
      <c r="F34" s="6" t="s">
        <v>176</v>
      </c>
      <c r="G34" s="6" t="s">
        <v>177</v>
      </c>
      <c r="H34" s="6" t="s">
        <v>52</v>
      </c>
      <c r="I34" s="10" t="s">
        <v>165</v>
      </c>
      <c r="J34" s="6" t="s">
        <v>53</v>
      </c>
      <c r="K34" s="6" t="s">
        <v>54</v>
      </c>
      <c r="L34" s="6" t="s">
        <v>178</v>
      </c>
      <c r="M34" s="6" t="s">
        <v>56</v>
      </c>
    </row>
    <row r="35" spans="1:13" ht="140.1" customHeight="1">
      <c r="A35" s="5" t="s">
        <v>162</v>
      </c>
      <c r="B35" s="5" t="s">
        <v>20</v>
      </c>
      <c r="C35" s="5" t="s">
        <v>21</v>
      </c>
      <c r="D35" s="5" t="s">
        <v>57</v>
      </c>
      <c r="E35" s="5" t="s">
        <v>179</v>
      </c>
      <c r="F35" s="5" t="s">
        <v>176</v>
      </c>
      <c r="G35" s="5" t="s">
        <v>177</v>
      </c>
      <c r="H35" s="5" t="s">
        <v>180</v>
      </c>
      <c r="I35" s="9" t="s">
        <v>165</v>
      </c>
      <c r="J35" s="5" t="s">
        <v>60</v>
      </c>
      <c r="K35" s="5" t="s">
        <v>54</v>
      </c>
      <c r="L35" s="5" t="s">
        <v>178</v>
      </c>
      <c r="M35" s="5" t="s">
        <v>56</v>
      </c>
    </row>
    <row r="36" spans="1:13" ht="92.1" customHeight="1">
      <c r="A36" s="6" t="s">
        <v>162</v>
      </c>
      <c r="B36" s="6" t="s">
        <v>20</v>
      </c>
      <c r="C36" s="6" t="s">
        <v>68</v>
      </c>
      <c r="D36" s="6" t="s">
        <v>181</v>
      </c>
      <c r="E36" s="6" t="s">
        <v>182</v>
      </c>
      <c r="F36" s="6" t="s">
        <v>183</v>
      </c>
      <c r="G36" s="6" t="s">
        <v>92</v>
      </c>
      <c r="H36" s="6" t="s">
        <v>184</v>
      </c>
      <c r="I36" s="10" t="s">
        <v>165</v>
      </c>
      <c r="J36" s="6" t="s">
        <v>185</v>
      </c>
      <c r="K36" s="6" t="s">
        <v>54</v>
      </c>
      <c r="L36" s="6" t="s">
        <v>178</v>
      </c>
      <c r="M36" s="6" t="s">
        <v>84</v>
      </c>
    </row>
    <row r="37" spans="1:13" ht="116.1" customHeight="1">
      <c r="A37" s="5" t="s">
        <v>162</v>
      </c>
      <c r="B37" s="5" t="s">
        <v>20</v>
      </c>
      <c r="C37" s="5" t="s">
        <v>68</v>
      </c>
      <c r="D37" s="5" t="s">
        <v>61</v>
      </c>
      <c r="E37" s="5" t="s">
        <v>62</v>
      </c>
      <c r="F37" s="5" t="s">
        <v>183</v>
      </c>
      <c r="G37" s="5" t="s">
        <v>92</v>
      </c>
      <c r="H37" s="5" t="s">
        <v>65</v>
      </c>
      <c r="I37" s="9" t="s">
        <v>165</v>
      </c>
      <c r="J37" s="5" t="s">
        <v>66</v>
      </c>
      <c r="K37" s="5" t="s">
        <v>67</v>
      </c>
      <c r="L37" s="5" t="s">
        <v>178</v>
      </c>
      <c r="M37" s="5" t="s">
        <v>84</v>
      </c>
    </row>
    <row r="38" spans="1:13" ht="116.1" customHeight="1">
      <c r="A38" s="6" t="s">
        <v>162</v>
      </c>
      <c r="B38" s="6" t="s">
        <v>20</v>
      </c>
      <c r="C38" s="6" t="s">
        <v>21</v>
      </c>
      <c r="D38" s="6" t="s">
        <v>186</v>
      </c>
      <c r="E38" s="6" t="s">
        <v>187</v>
      </c>
      <c r="F38" s="6" t="s">
        <v>188</v>
      </c>
      <c r="G38" s="6" t="s">
        <v>189</v>
      </c>
      <c r="H38" s="6" t="s">
        <v>190</v>
      </c>
      <c r="I38" s="10" t="s">
        <v>165</v>
      </c>
      <c r="J38" s="6" t="s">
        <v>191</v>
      </c>
      <c r="K38" s="6" t="s">
        <v>67</v>
      </c>
      <c r="L38" s="6" t="s">
        <v>178</v>
      </c>
      <c r="M38" s="6" t="s">
        <v>192</v>
      </c>
    </row>
    <row r="39" spans="1:13" ht="104.1" customHeight="1">
      <c r="A39" s="5" t="s">
        <v>162</v>
      </c>
      <c r="B39" s="5" t="s">
        <v>20</v>
      </c>
      <c r="C39" s="5" t="s">
        <v>21</v>
      </c>
      <c r="D39" s="5" t="s">
        <v>75</v>
      </c>
      <c r="E39" s="5" t="s">
        <v>193</v>
      </c>
      <c r="F39" s="5" t="s">
        <v>188</v>
      </c>
      <c r="G39" s="5" t="s">
        <v>189</v>
      </c>
      <c r="H39" s="5" t="s">
        <v>194</v>
      </c>
      <c r="I39" s="9" t="s">
        <v>195</v>
      </c>
      <c r="J39" s="5" t="s">
        <v>78</v>
      </c>
      <c r="K39" s="5" t="s">
        <v>54</v>
      </c>
      <c r="L39" s="5" t="s">
        <v>178</v>
      </c>
      <c r="M39" s="5" t="s">
        <v>56</v>
      </c>
    </row>
    <row r="40" spans="1:13" ht="68.099999999999994" customHeight="1">
      <c r="A40" s="6" t="s">
        <v>162</v>
      </c>
      <c r="B40" s="6" t="s">
        <v>20</v>
      </c>
      <c r="C40" s="6" t="s">
        <v>21</v>
      </c>
      <c r="D40" s="6" t="s">
        <v>196</v>
      </c>
      <c r="E40" s="6" t="s">
        <v>197</v>
      </c>
      <c r="F40" s="6" t="s">
        <v>198</v>
      </c>
      <c r="G40" s="6" t="s">
        <v>199</v>
      </c>
      <c r="H40" s="6" t="s">
        <v>197</v>
      </c>
      <c r="I40" s="10" t="s">
        <v>200</v>
      </c>
      <c r="J40" s="6" t="s">
        <v>201</v>
      </c>
      <c r="K40" s="6" t="s">
        <v>54</v>
      </c>
      <c r="L40" s="6" t="s">
        <v>178</v>
      </c>
      <c r="M40" s="6" t="s">
        <v>56</v>
      </c>
    </row>
    <row r="41" spans="1:13" ht="68.099999999999994" customHeight="1">
      <c r="A41" s="5" t="s">
        <v>162</v>
      </c>
      <c r="B41" s="5" t="s">
        <v>85</v>
      </c>
      <c r="C41" s="5" t="s">
        <v>21</v>
      </c>
      <c r="D41" s="5" t="s">
        <v>86</v>
      </c>
      <c r="E41" s="5" t="s">
        <v>87</v>
      </c>
      <c r="F41" s="5" t="s">
        <v>202</v>
      </c>
      <c r="G41" s="5" t="s">
        <v>203</v>
      </c>
      <c r="H41" s="5" t="s">
        <v>87</v>
      </c>
      <c r="I41" s="9" t="s">
        <v>90</v>
      </c>
      <c r="J41" s="5" t="s">
        <v>91</v>
      </c>
      <c r="K41" s="5" t="s">
        <v>54</v>
      </c>
      <c r="L41" s="5" t="s">
        <v>204</v>
      </c>
      <c r="M41" s="5"/>
    </row>
    <row r="42" spans="1:13" ht="80.099999999999994" customHeight="1">
      <c r="A42" s="6" t="s">
        <v>162</v>
      </c>
      <c r="B42" s="6" t="s">
        <v>85</v>
      </c>
      <c r="C42" s="6" t="s">
        <v>21</v>
      </c>
      <c r="D42" s="6" t="s">
        <v>205</v>
      </c>
      <c r="E42" s="6" t="s">
        <v>206</v>
      </c>
      <c r="F42" s="6" t="s">
        <v>207</v>
      </c>
      <c r="G42" s="6" t="s">
        <v>208</v>
      </c>
      <c r="H42" s="6" t="s">
        <v>209</v>
      </c>
      <c r="I42" s="10" t="s">
        <v>107</v>
      </c>
      <c r="J42" s="6" t="s">
        <v>91</v>
      </c>
      <c r="K42" s="6" t="s">
        <v>100</v>
      </c>
      <c r="L42" s="6" t="s">
        <v>204</v>
      </c>
      <c r="M42" s="6"/>
    </row>
    <row r="43" spans="1:13" ht="92.1" customHeight="1">
      <c r="A43" s="5" t="s">
        <v>162</v>
      </c>
      <c r="B43" s="5" t="s">
        <v>85</v>
      </c>
      <c r="C43" s="5" t="s">
        <v>21</v>
      </c>
      <c r="D43" s="5" t="s">
        <v>210</v>
      </c>
      <c r="E43" s="5" t="s">
        <v>211</v>
      </c>
      <c r="F43" s="5" t="s">
        <v>212</v>
      </c>
      <c r="G43" s="5" t="s">
        <v>213</v>
      </c>
      <c r="H43" s="5" t="s">
        <v>214</v>
      </c>
      <c r="I43" s="9" t="s">
        <v>107</v>
      </c>
      <c r="J43" s="5" t="s">
        <v>91</v>
      </c>
      <c r="K43" s="5" t="s">
        <v>100</v>
      </c>
      <c r="L43" s="5" t="s">
        <v>204</v>
      </c>
      <c r="M43" s="5"/>
    </row>
    <row r="44" spans="1:13" ht="80.099999999999994" customHeight="1">
      <c r="A44" s="6" t="s">
        <v>162</v>
      </c>
      <c r="B44" s="6" t="s">
        <v>85</v>
      </c>
      <c r="C44" s="6" t="s">
        <v>21</v>
      </c>
      <c r="D44" s="6" t="s">
        <v>215</v>
      </c>
      <c r="E44" s="6" t="s">
        <v>216</v>
      </c>
      <c r="F44" s="6" t="s">
        <v>217</v>
      </c>
      <c r="G44" s="6" t="s">
        <v>218</v>
      </c>
      <c r="H44" s="6" t="s">
        <v>219</v>
      </c>
      <c r="I44" s="10" t="s">
        <v>220</v>
      </c>
      <c r="J44" s="6" t="s">
        <v>91</v>
      </c>
      <c r="K44" s="6" t="s">
        <v>100</v>
      </c>
      <c r="L44" s="6" t="s">
        <v>204</v>
      </c>
      <c r="M44" s="6"/>
    </row>
    <row r="45" spans="1:13" ht="80.099999999999994" customHeight="1">
      <c r="A45" s="5" t="s">
        <v>162</v>
      </c>
      <c r="B45" s="5" t="s">
        <v>85</v>
      </c>
      <c r="C45" s="5" t="s">
        <v>21</v>
      </c>
      <c r="D45" s="5" t="s">
        <v>221</v>
      </c>
      <c r="E45" s="5" t="s">
        <v>222</v>
      </c>
      <c r="F45" s="5" t="s">
        <v>207</v>
      </c>
      <c r="G45" s="5" t="s">
        <v>208</v>
      </c>
      <c r="H45" s="5" t="s">
        <v>223</v>
      </c>
      <c r="I45" s="9" t="s">
        <v>107</v>
      </c>
      <c r="J45" s="5" t="s">
        <v>91</v>
      </c>
      <c r="K45" s="5" t="s">
        <v>100</v>
      </c>
      <c r="L45" s="5" t="s">
        <v>204</v>
      </c>
      <c r="M45" s="5"/>
    </row>
    <row r="46" spans="1:13" ht="92.1" customHeight="1">
      <c r="A46" s="6" t="s">
        <v>162</v>
      </c>
      <c r="B46" s="6" t="s">
        <v>85</v>
      </c>
      <c r="C46" s="6" t="s">
        <v>21</v>
      </c>
      <c r="D46" s="6" t="s">
        <v>224</v>
      </c>
      <c r="E46" s="6" t="s">
        <v>225</v>
      </c>
      <c r="F46" s="6" t="s">
        <v>212</v>
      </c>
      <c r="G46" s="6" t="s">
        <v>213</v>
      </c>
      <c r="H46" s="6" t="s">
        <v>226</v>
      </c>
      <c r="I46" s="10" t="s">
        <v>107</v>
      </c>
      <c r="J46" s="6" t="s">
        <v>91</v>
      </c>
      <c r="K46" s="6" t="s">
        <v>100</v>
      </c>
      <c r="L46" s="6" t="s">
        <v>204</v>
      </c>
      <c r="M46" s="6"/>
    </row>
    <row r="47" spans="1:13" ht="80.099999999999994" customHeight="1">
      <c r="A47" s="5" t="s">
        <v>162</v>
      </c>
      <c r="B47" s="5" t="s">
        <v>85</v>
      </c>
      <c r="C47" s="5" t="s">
        <v>21</v>
      </c>
      <c r="D47" s="5" t="s">
        <v>227</v>
      </c>
      <c r="E47" s="5" t="s">
        <v>228</v>
      </c>
      <c r="F47" s="5" t="s">
        <v>217</v>
      </c>
      <c r="G47" s="5" t="s">
        <v>218</v>
      </c>
      <c r="H47" s="5" t="s">
        <v>229</v>
      </c>
      <c r="I47" s="9" t="s">
        <v>220</v>
      </c>
      <c r="J47" s="5" t="s">
        <v>91</v>
      </c>
      <c r="K47" s="5" t="s">
        <v>100</v>
      </c>
      <c r="L47" s="5" t="s">
        <v>204</v>
      </c>
      <c r="M47" s="5"/>
    </row>
    <row r="48" spans="1:13" ht="66" customHeight="1">
      <c r="A48" s="6" t="s">
        <v>162</v>
      </c>
      <c r="B48" s="6" t="s">
        <v>85</v>
      </c>
      <c r="C48" s="6" t="s">
        <v>21</v>
      </c>
      <c r="D48" s="6" t="s">
        <v>230</v>
      </c>
      <c r="E48" s="6" t="s">
        <v>231</v>
      </c>
      <c r="F48" s="6" t="s">
        <v>232</v>
      </c>
      <c r="G48" s="6" t="s">
        <v>233</v>
      </c>
      <c r="H48" s="6" t="s">
        <v>231</v>
      </c>
      <c r="I48" s="10" t="s">
        <v>234</v>
      </c>
      <c r="J48" s="6" t="s">
        <v>91</v>
      </c>
      <c r="K48" s="6" t="s">
        <v>235</v>
      </c>
      <c r="L48" s="6" t="s">
        <v>236</v>
      </c>
      <c r="M48" s="6"/>
    </row>
    <row r="49" spans="1:13" ht="80.099999999999994" customHeight="1">
      <c r="A49" s="5" t="s">
        <v>162</v>
      </c>
      <c r="B49" s="5" t="s">
        <v>85</v>
      </c>
      <c r="C49" s="5" t="s">
        <v>21</v>
      </c>
      <c r="D49" s="5" t="s">
        <v>237</v>
      </c>
      <c r="E49" s="5" t="s">
        <v>238</v>
      </c>
      <c r="F49" s="5" t="s">
        <v>239</v>
      </c>
      <c r="G49" s="5" t="s">
        <v>240</v>
      </c>
      <c r="H49" s="5" t="s">
        <v>238</v>
      </c>
      <c r="I49" s="9" t="s">
        <v>234</v>
      </c>
      <c r="J49" s="5" t="s">
        <v>91</v>
      </c>
      <c r="K49" s="5" t="s">
        <v>235</v>
      </c>
      <c r="L49" s="5" t="s">
        <v>236</v>
      </c>
      <c r="M49" s="5"/>
    </row>
    <row r="50" spans="1:13" ht="68.099999999999994" customHeight="1">
      <c r="A50" s="6" t="s">
        <v>162</v>
      </c>
      <c r="B50" s="6" t="s">
        <v>85</v>
      </c>
      <c r="C50" s="6" t="s">
        <v>21</v>
      </c>
      <c r="D50" s="6" t="s">
        <v>241</v>
      </c>
      <c r="E50" s="6" t="s">
        <v>242</v>
      </c>
      <c r="F50" s="6" t="s">
        <v>243</v>
      </c>
      <c r="G50" s="6" t="s">
        <v>244</v>
      </c>
      <c r="H50" s="6" t="s">
        <v>242</v>
      </c>
      <c r="I50" s="10" t="s">
        <v>234</v>
      </c>
      <c r="J50" s="6" t="s">
        <v>91</v>
      </c>
      <c r="K50" s="6" t="s">
        <v>235</v>
      </c>
      <c r="L50" s="6" t="s">
        <v>236</v>
      </c>
      <c r="M50" s="6"/>
    </row>
    <row r="51" spans="1:13" ht="80.099999999999994" customHeight="1">
      <c r="A51" s="5" t="s">
        <v>162</v>
      </c>
      <c r="B51" s="5" t="s">
        <v>108</v>
      </c>
      <c r="C51" s="5" t="s">
        <v>21</v>
      </c>
      <c r="D51" s="5" t="s">
        <v>109</v>
      </c>
      <c r="E51" s="5" t="s">
        <v>110</v>
      </c>
      <c r="F51" s="5" t="s">
        <v>245</v>
      </c>
      <c r="G51" s="5" t="s">
        <v>246</v>
      </c>
      <c r="H51" s="5" t="s">
        <v>110</v>
      </c>
      <c r="I51" s="9" t="s">
        <v>234</v>
      </c>
      <c r="J51" s="5" t="s">
        <v>113</v>
      </c>
      <c r="K51" s="5" t="s">
        <v>54</v>
      </c>
      <c r="L51" s="5" t="s">
        <v>178</v>
      </c>
      <c r="M51" s="5" t="s">
        <v>56</v>
      </c>
    </row>
    <row r="52" spans="1:13" ht="80.099999999999994" customHeight="1">
      <c r="A52" s="6" t="s">
        <v>162</v>
      </c>
      <c r="B52" s="6" t="s">
        <v>108</v>
      </c>
      <c r="C52" s="6" t="s">
        <v>21</v>
      </c>
      <c r="D52" s="6" t="s">
        <v>114</v>
      </c>
      <c r="E52" s="6" t="s">
        <v>115</v>
      </c>
      <c r="F52" s="6" t="s">
        <v>245</v>
      </c>
      <c r="G52" s="6" t="s">
        <v>246</v>
      </c>
      <c r="H52" s="6" t="s">
        <v>115</v>
      </c>
      <c r="I52" s="10" t="s">
        <v>234</v>
      </c>
      <c r="J52" s="6" t="s">
        <v>116</v>
      </c>
      <c r="K52" s="6" t="s">
        <v>54</v>
      </c>
      <c r="L52" s="6" t="s">
        <v>178</v>
      </c>
      <c r="M52" s="6" t="s">
        <v>56</v>
      </c>
    </row>
    <row r="53" spans="1:13" ht="80.099999999999994" customHeight="1">
      <c r="A53" s="5" t="s">
        <v>162</v>
      </c>
      <c r="B53" s="5" t="s">
        <v>108</v>
      </c>
      <c r="C53" s="5" t="s">
        <v>21</v>
      </c>
      <c r="D53" s="5" t="s">
        <v>117</v>
      </c>
      <c r="E53" s="5" t="s">
        <v>118</v>
      </c>
      <c r="F53" s="5" t="s">
        <v>245</v>
      </c>
      <c r="G53" s="5" t="s">
        <v>246</v>
      </c>
      <c r="H53" s="5" t="s">
        <v>118</v>
      </c>
      <c r="I53" s="9" t="s">
        <v>234</v>
      </c>
      <c r="J53" s="5" t="s">
        <v>119</v>
      </c>
      <c r="K53" s="5" t="s">
        <v>54</v>
      </c>
      <c r="L53" s="5" t="s">
        <v>178</v>
      </c>
      <c r="M53" s="5" t="s">
        <v>56</v>
      </c>
    </row>
    <row r="54" spans="1:13" ht="80.099999999999994" customHeight="1">
      <c r="A54" s="6" t="s">
        <v>162</v>
      </c>
      <c r="B54" s="6" t="s">
        <v>108</v>
      </c>
      <c r="C54" s="6" t="s">
        <v>21</v>
      </c>
      <c r="D54" s="6" t="s">
        <v>120</v>
      </c>
      <c r="E54" s="6" t="s">
        <v>121</v>
      </c>
      <c r="F54" s="6" t="s">
        <v>247</v>
      </c>
      <c r="G54" s="6" t="s">
        <v>248</v>
      </c>
      <c r="H54" s="6" t="s">
        <v>124</v>
      </c>
      <c r="I54" s="10" t="s">
        <v>165</v>
      </c>
      <c r="J54" s="6" t="s">
        <v>125</v>
      </c>
      <c r="K54" s="6" t="s">
        <v>54</v>
      </c>
      <c r="L54" s="6" t="s">
        <v>178</v>
      </c>
      <c r="M54" s="6"/>
    </row>
    <row r="55" spans="1:13" ht="68.099999999999994" customHeight="1">
      <c r="A55" s="5" t="s">
        <v>162</v>
      </c>
      <c r="B55" s="5" t="s">
        <v>108</v>
      </c>
      <c r="C55" s="5" t="s">
        <v>21</v>
      </c>
      <c r="D55" s="5" t="s">
        <v>126</v>
      </c>
      <c r="E55" s="5" t="s">
        <v>127</v>
      </c>
      <c r="F55" s="5" t="s">
        <v>249</v>
      </c>
      <c r="G55" s="5" t="s">
        <v>250</v>
      </c>
      <c r="H55" s="5" t="s">
        <v>127</v>
      </c>
      <c r="I55" s="9" t="s">
        <v>27</v>
      </c>
      <c r="J55" s="5" t="s">
        <v>91</v>
      </c>
      <c r="K55" s="5" t="s">
        <v>130</v>
      </c>
      <c r="L55" s="5" t="s">
        <v>236</v>
      </c>
      <c r="M55" s="5"/>
    </row>
    <row r="56" spans="1:13" ht="80.099999999999994" customHeight="1">
      <c r="A56" s="6" t="s">
        <v>162</v>
      </c>
      <c r="B56" s="6" t="s">
        <v>108</v>
      </c>
      <c r="C56" s="6" t="s">
        <v>21</v>
      </c>
      <c r="D56" s="6" t="s">
        <v>251</v>
      </c>
      <c r="E56" s="6" t="s">
        <v>252</v>
      </c>
      <c r="F56" s="6" t="s">
        <v>253</v>
      </c>
      <c r="G56" s="6" t="s">
        <v>254</v>
      </c>
      <c r="H56" s="6" t="s">
        <v>255</v>
      </c>
      <c r="I56" s="10" t="s">
        <v>165</v>
      </c>
      <c r="J56" s="6" t="s">
        <v>256</v>
      </c>
      <c r="K56" s="6" t="s">
        <v>54</v>
      </c>
      <c r="L56" s="6" t="s">
        <v>178</v>
      </c>
      <c r="M56" s="6" t="s">
        <v>56</v>
      </c>
    </row>
    <row r="57" spans="1:13" ht="80.099999999999994" customHeight="1">
      <c r="A57" s="5" t="s">
        <v>162</v>
      </c>
      <c r="B57" s="5" t="s">
        <v>257</v>
      </c>
      <c r="C57" s="5" t="s">
        <v>68</v>
      </c>
      <c r="D57" s="5" t="s">
        <v>258</v>
      </c>
      <c r="E57" s="5" t="s">
        <v>259</v>
      </c>
      <c r="F57" s="5" t="s">
        <v>183</v>
      </c>
      <c r="G57" s="5" t="s">
        <v>92</v>
      </c>
      <c r="H57" s="5" t="s">
        <v>260</v>
      </c>
      <c r="I57" s="9" t="s">
        <v>165</v>
      </c>
      <c r="J57" s="5" t="s">
        <v>261</v>
      </c>
      <c r="K57" s="5" t="s">
        <v>54</v>
      </c>
      <c r="L57" s="5" t="s">
        <v>178</v>
      </c>
      <c r="M57" s="5" t="s">
        <v>74</v>
      </c>
    </row>
    <row r="58" spans="1:13" ht="80.099999999999994" customHeight="1">
      <c r="A58" s="6" t="s">
        <v>162</v>
      </c>
      <c r="B58" s="6" t="s">
        <v>257</v>
      </c>
      <c r="C58" s="6" t="s">
        <v>68</v>
      </c>
      <c r="D58" s="6" t="s">
        <v>262</v>
      </c>
      <c r="E58" s="6" t="s">
        <v>263</v>
      </c>
      <c r="F58" s="6" t="s">
        <v>183</v>
      </c>
      <c r="G58" s="6" t="s">
        <v>92</v>
      </c>
      <c r="H58" s="6" t="s">
        <v>264</v>
      </c>
      <c r="I58" s="10" t="s">
        <v>234</v>
      </c>
      <c r="J58" s="6" t="s">
        <v>265</v>
      </c>
      <c r="K58" s="6" t="s">
        <v>54</v>
      </c>
      <c r="L58" s="6" t="s">
        <v>178</v>
      </c>
      <c r="M58" s="6" t="s">
        <v>74</v>
      </c>
    </row>
    <row r="59" spans="1:13" ht="80.099999999999994" customHeight="1">
      <c r="A59" s="5" t="s">
        <v>162</v>
      </c>
      <c r="B59" s="5" t="s">
        <v>257</v>
      </c>
      <c r="C59" s="5" t="s">
        <v>68</v>
      </c>
      <c r="D59" s="5" t="s">
        <v>266</v>
      </c>
      <c r="E59" s="5" t="s">
        <v>267</v>
      </c>
      <c r="F59" s="5" t="s">
        <v>183</v>
      </c>
      <c r="G59" s="5" t="s">
        <v>92</v>
      </c>
      <c r="H59" s="5" t="s">
        <v>268</v>
      </c>
      <c r="I59" s="9" t="s">
        <v>234</v>
      </c>
      <c r="J59" s="5" t="s">
        <v>269</v>
      </c>
      <c r="K59" s="5" t="s">
        <v>54</v>
      </c>
      <c r="L59" s="5" t="s">
        <v>178</v>
      </c>
      <c r="M59" s="5" t="s">
        <v>74</v>
      </c>
    </row>
    <row r="60" spans="1:13" ht="92.1" customHeight="1">
      <c r="A60" s="6" t="s">
        <v>162</v>
      </c>
      <c r="B60" s="6" t="s">
        <v>257</v>
      </c>
      <c r="C60" s="6" t="s">
        <v>68</v>
      </c>
      <c r="D60" s="6" t="s">
        <v>270</v>
      </c>
      <c r="E60" s="6" t="s">
        <v>271</v>
      </c>
      <c r="F60" s="6" t="s">
        <v>272</v>
      </c>
      <c r="G60" s="6" t="s">
        <v>92</v>
      </c>
      <c r="H60" s="6" t="s">
        <v>273</v>
      </c>
      <c r="I60" s="10" t="s">
        <v>234</v>
      </c>
      <c r="J60" s="6" t="s">
        <v>274</v>
      </c>
      <c r="K60" s="6" t="s">
        <v>54</v>
      </c>
      <c r="L60" s="6" t="s">
        <v>178</v>
      </c>
      <c r="M60" s="6" t="s">
        <v>275</v>
      </c>
    </row>
    <row r="61" spans="1:13" ht="92.1" customHeight="1">
      <c r="A61" s="5" t="s">
        <v>162</v>
      </c>
      <c r="B61" s="5" t="s">
        <v>257</v>
      </c>
      <c r="C61" s="5" t="s">
        <v>68</v>
      </c>
      <c r="D61" s="5" t="s">
        <v>276</v>
      </c>
      <c r="E61" s="5" t="s">
        <v>277</v>
      </c>
      <c r="F61" s="5" t="s">
        <v>272</v>
      </c>
      <c r="G61" s="5" t="s">
        <v>92</v>
      </c>
      <c r="H61" s="5" t="s">
        <v>278</v>
      </c>
      <c r="I61" s="9" t="s">
        <v>234</v>
      </c>
      <c r="J61" s="5" t="s">
        <v>279</v>
      </c>
      <c r="K61" s="5" t="s">
        <v>54</v>
      </c>
      <c r="L61" s="5" t="s">
        <v>178</v>
      </c>
      <c r="M61" s="5" t="s">
        <v>275</v>
      </c>
    </row>
    <row r="62" spans="1:13" ht="92.1" customHeight="1">
      <c r="A62" s="6" t="s">
        <v>162</v>
      </c>
      <c r="B62" s="6" t="s">
        <v>257</v>
      </c>
      <c r="C62" s="6" t="s">
        <v>68</v>
      </c>
      <c r="D62" s="6" t="s">
        <v>280</v>
      </c>
      <c r="E62" s="6" t="s">
        <v>281</v>
      </c>
      <c r="F62" s="6" t="s">
        <v>272</v>
      </c>
      <c r="G62" s="6" t="s">
        <v>92</v>
      </c>
      <c r="H62" s="6" t="s">
        <v>282</v>
      </c>
      <c r="I62" s="10" t="s">
        <v>234</v>
      </c>
      <c r="J62" s="6" t="s">
        <v>283</v>
      </c>
      <c r="K62" s="6" t="s">
        <v>54</v>
      </c>
      <c r="L62" s="6" t="s">
        <v>178</v>
      </c>
      <c r="M62" s="6" t="s">
        <v>275</v>
      </c>
    </row>
    <row r="63" spans="1:13" ht="80.099999999999994" customHeight="1">
      <c r="A63" s="5" t="s">
        <v>162</v>
      </c>
      <c r="B63" s="5" t="s">
        <v>257</v>
      </c>
      <c r="C63" s="5" t="s">
        <v>68</v>
      </c>
      <c r="D63" s="5" t="s">
        <v>284</v>
      </c>
      <c r="E63" s="5" t="s">
        <v>285</v>
      </c>
      <c r="F63" s="5" t="s">
        <v>183</v>
      </c>
      <c r="G63" s="5" t="s">
        <v>92</v>
      </c>
      <c r="H63" s="5" t="s">
        <v>286</v>
      </c>
      <c r="I63" s="9" t="s">
        <v>234</v>
      </c>
      <c r="J63" s="5" t="s">
        <v>287</v>
      </c>
      <c r="K63" s="5" t="s">
        <v>54</v>
      </c>
      <c r="L63" s="5" t="s">
        <v>178</v>
      </c>
      <c r="M63" s="5" t="s">
        <v>74</v>
      </c>
    </row>
    <row r="64" spans="1:13" ht="68.099999999999994" customHeight="1">
      <c r="A64" s="6" t="s">
        <v>162</v>
      </c>
      <c r="B64" s="6" t="s">
        <v>257</v>
      </c>
      <c r="C64" s="6" t="s">
        <v>68</v>
      </c>
      <c r="D64" s="6" t="s">
        <v>288</v>
      </c>
      <c r="E64" s="6" t="s">
        <v>289</v>
      </c>
      <c r="F64" s="6" t="s">
        <v>183</v>
      </c>
      <c r="G64" s="6" t="s">
        <v>92</v>
      </c>
      <c r="H64" s="6" t="s">
        <v>290</v>
      </c>
      <c r="I64" s="10" t="s">
        <v>234</v>
      </c>
      <c r="J64" s="6" t="s">
        <v>291</v>
      </c>
      <c r="K64" s="6" t="s">
        <v>54</v>
      </c>
      <c r="L64" s="6" t="s">
        <v>178</v>
      </c>
      <c r="M64" s="6" t="s">
        <v>74</v>
      </c>
    </row>
    <row r="65" spans="1:13" ht="80.099999999999994" customHeight="1">
      <c r="A65" s="5" t="s">
        <v>162</v>
      </c>
      <c r="B65" s="5" t="s">
        <v>257</v>
      </c>
      <c r="C65" s="5" t="s">
        <v>68</v>
      </c>
      <c r="D65" s="5" t="s">
        <v>292</v>
      </c>
      <c r="E65" s="5" t="s">
        <v>293</v>
      </c>
      <c r="F65" s="5" t="s">
        <v>183</v>
      </c>
      <c r="G65" s="5" t="s">
        <v>92</v>
      </c>
      <c r="H65" s="5" t="s">
        <v>294</v>
      </c>
      <c r="I65" s="9" t="s">
        <v>165</v>
      </c>
      <c r="J65" s="5" t="s">
        <v>295</v>
      </c>
      <c r="K65" s="5" t="s">
        <v>54</v>
      </c>
      <c r="L65" s="5" t="s">
        <v>178</v>
      </c>
      <c r="M65" s="5" t="s">
        <v>74</v>
      </c>
    </row>
    <row r="66" spans="1:13" ht="80.099999999999994" customHeight="1">
      <c r="A66" s="6" t="s">
        <v>162</v>
      </c>
      <c r="B66" s="6" t="s">
        <v>257</v>
      </c>
      <c r="C66" s="6" t="s">
        <v>21</v>
      </c>
      <c r="D66" s="6" t="s">
        <v>296</v>
      </c>
      <c r="E66" s="6" t="s">
        <v>297</v>
      </c>
      <c r="F66" s="6" t="s">
        <v>298</v>
      </c>
      <c r="G66" s="6" t="s">
        <v>299</v>
      </c>
      <c r="H66" s="6" t="s">
        <v>300</v>
      </c>
      <c r="I66" s="10" t="s">
        <v>301</v>
      </c>
      <c r="J66" s="6" t="s">
        <v>302</v>
      </c>
      <c r="K66" s="6" t="s">
        <v>54</v>
      </c>
      <c r="L66" s="6" t="s">
        <v>178</v>
      </c>
      <c r="M66" s="6" t="s">
        <v>56</v>
      </c>
    </row>
    <row r="67" spans="1:13" ht="80.099999999999994" customHeight="1">
      <c r="A67" s="5" t="s">
        <v>162</v>
      </c>
      <c r="B67" s="5" t="s">
        <v>257</v>
      </c>
      <c r="C67" s="5" t="s">
        <v>21</v>
      </c>
      <c r="D67" s="5" t="s">
        <v>303</v>
      </c>
      <c r="E67" s="5" t="s">
        <v>304</v>
      </c>
      <c r="F67" s="5" t="s">
        <v>305</v>
      </c>
      <c r="G67" s="5" t="s">
        <v>306</v>
      </c>
      <c r="H67" s="5" t="s">
        <v>307</v>
      </c>
      <c r="I67" s="9" t="s">
        <v>234</v>
      </c>
      <c r="J67" s="5" t="s">
        <v>308</v>
      </c>
      <c r="K67" s="5" t="s">
        <v>54</v>
      </c>
      <c r="L67" s="5" t="s">
        <v>178</v>
      </c>
      <c r="M67" s="5" t="s">
        <v>56</v>
      </c>
    </row>
    <row r="68" spans="1:13" ht="104.1" customHeight="1">
      <c r="A68" s="6" t="s">
        <v>162</v>
      </c>
      <c r="B68" s="6" t="s">
        <v>257</v>
      </c>
      <c r="C68" s="6" t="s">
        <v>68</v>
      </c>
      <c r="D68" s="6" t="s">
        <v>309</v>
      </c>
      <c r="E68" s="6" t="s">
        <v>310</v>
      </c>
      <c r="F68" s="6" t="s">
        <v>272</v>
      </c>
      <c r="G68" s="6" t="s">
        <v>92</v>
      </c>
      <c r="H68" s="6" t="s">
        <v>311</v>
      </c>
      <c r="I68" s="10" t="s">
        <v>165</v>
      </c>
      <c r="J68" s="6" t="s">
        <v>312</v>
      </c>
      <c r="K68" s="6" t="s">
        <v>54</v>
      </c>
      <c r="L68" s="6" t="s">
        <v>178</v>
      </c>
      <c r="M68" s="6" t="s">
        <v>275</v>
      </c>
    </row>
    <row r="69" spans="1:13" ht="68.099999999999994" customHeight="1">
      <c r="A69" s="5" t="s">
        <v>162</v>
      </c>
      <c r="B69" s="5" t="s">
        <v>257</v>
      </c>
      <c r="C69" s="5" t="s">
        <v>21</v>
      </c>
      <c r="D69" s="5" t="s">
        <v>313</v>
      </c>
      <c r="E69" s="5" t="s">
        <v>314</v>
      </c>
      <c r="F69" s="5" t="s">
        <v>315</v>
      </c>
      <c r="G69" s="5" t="s">
        <v>316</v>
      </c>
      <c r="H69" s="5" t="s">
        <v>317</v>
      </c>
      <c r="I69" s="9" t="s">
        <v>234</v>
      </c>
      <c r="J69" s="5" t="s">
        <v>318</v>
      </c>
      <c r="K69" s="5" t="s">
        <v>54</v>
      </c>
      <c r="L69" s="5" t="s">
        <v>178</v>
      </c>
      <c r="M69" s="5" t="s">
        <v>56</v>
      </c>
    </row>
    <row r="70" spans="1:13" ht="80.099999999999994" customHeight="1">
      <c r="A70" s="6" t="s">
        <v>162</v>
      </c>
      <c r="B70" s="6" t="s">
        <v>257</v>
      </c>
      <c r="C70" s="6" t="s">
        <v>21</v>
      </c>
      <c r="D70" s="6" t="s">
        <v>319</v>
      </c>
      <c r="E70" s="6" t="s">
        <v>320</v>
      </c>
      <c r="F70" s="6" t="s">
        <v>321</v>
      </c>
      <c r="G70" s="6" t="s">
        <v>322</v>
      </c>
      <c r="H70" s="6" t="s">
        <v>323</v>
      </c>
      <c r="I70" s="10" t="s">
        <v>234</v>
      </c>
      <c r="J70" s="6" t="s">
        <v>324</v>
      </c>
      <c r="K70" s="6" t="s">
        <v>54</v>
      </c>
      <c r="L70" s="6" t="s">
        <v>178</v>
      </c>
      <c r="M70" s="6" t="s">
        <v>56</v>
      </c>
    </row>
    <row r="71" spans="1:13" ht="92.1" customHeight="1">
      <c r="A71" s="5" t="s">
        <v>162</v>
      </c>
      <c r="B71" s="5" t="s">
        <v>257</v>
      </c>
      <c r="C71" s="5" t="s">
        <v>68</v>
      </c>
      <c r="D71" s="5" t="s">
        <v>325</v>
      </c>
      <c r="E71" s="5" t="s">
        <v>326</v>
      </c>
      <c r="F71" s="5" t="s">
        <v>272</v>
      </c>
      <c r="G71" s="5" t="s">
        <v>92</v>
      </c>
      <c r="H71" s="5" t="s">
        <v>327</v>
      </c>
      <c r="I71" s="9" t="s">
        <v>234</v>
      </c>
      <c r="J71" s="5" t="s">
        <v>328</v>
      </c>
      <c r="K71" s="5" t="s">
        <v>54</v>
      </c>
      <c r="L71" s="5" t="s">
        <v>178</v>
      </c>
      <c r="M71" s="5" t="s">
        <v>275</v>
      </c>
    </row>
    <row r="72" spans="1:13" ht="92.1" customHeight="1">
      <c r="A72" s="6" t="s">
        <v>162</v>
      </c>
      <c r="B72" s="6" t="s">
        <v>257</v>
      </c>
      <c r="C72" s="6" t="s">
        <v>68</v>
      </c>
      <c r="D72" s="6" t="s">
        <v>329</v>
      </c>
      <c r="E72" s="6" t="s">
        <v>330</v>
      </c>
      <c r="F72" s="6" t="s">
        <v>272</v>
      </c>
      <c r="G72" s="6" t="s">
        <v>92</v>
      </c>
      <c r="H72" s="6" t="s">
        <v>331</v>
      </c>
      <c r="I72" s="10" t="s">
        <v>234</v>
      </c>
      <c r="J72" s="6" t="s">
        <v>332</v>
      </c>
      <c r="K72" s="6" t="s">
        <v>54</v>
      </c>
      <c r="L72" s="6" t="s">
        <v>178</v>
      </c>
      <c r="M72" s="6" t="s">
        <v>275</v>
      </c>
    </row>
    <row r="73" spans="1:13" ht="92.1" customHeight="1">
      <c r="A73" s="5" t="s">
        <v>162</v>
      </c>
      <c r="B73" s="5" t="s">
        <v>257</v>
      </c>
      <c r="C73" s="5" t="s">
        <v>68</v>
      </c>
      <c r="D73" s="5" t="s">
        <v>333</v>
      </c>
      <c r="E73" s="5" t="s">
        <v>334</v>
      </c>
      <c r="F73" s="5" t="s">
        <v>272</v>
      </c>
      <c r="G73" s="5" t="s">
        <v>92</v>
      </c>
      <c r="H73" s="5" t="s">
        <v>335</v>
      </c>
      <c r="I73" s="9" t="s">
        <v>234</v>
      </c>
      <c r="J73" s="5" t="s">
        <v>336</v>
      </c>
      <c r="K73" s="5" t="s">
        <v>54</v>
      </c>
      <c r="L73" s="5" t="s">
        <v>178</v>
      </c>
      <c r="M73" s="5" t="s">
        <v>275</v>
      </c>
    </row>
    <row r="74" spans="1:13" ht="68.099999999999994" customHeight="1">
      <c r="A74" s="6" t="s">
        <v>162</v>
      </c>
      <c r="B74" s="6" t="s">
        <v>132</v>
      </c>
      <c r="C74" s="6" t="s">
        <v>21</v>
      </c>
      <c r="D74" s="6" t="s">
        <v>337</v>
      </c>
      <c r="E74" s="6" t="s">
        <v>338</v>
      </c>
      <c r="F74" s="6" t="s">
        <v>339</v>
      </c>
      <c r="G74" s="6" t="s">
        <v>340</v>
      </c>
      <c r="H74" s="6" t="s">
        <v>341</v>
      </c>
      <c r="I74" s="10" t="s">
        <v>138</v>
      </c>
      <c r="J74" s="6" t="s">
        <v>139</v>
      </c>
      <c r="K74" s="6" t="s">
        <v>140</v>
      </c>
      <c r="L74" s="6" t="s">
        <v>342</v>
      </c>
      <c r="M74" s="6" t="s">
        <v>142</v>
      </c>
    </row>
    <row r="75" spans="1:13" ht="80.099999999999994" customHeight="1">
      <c r="A75" s="5" t="s">
        <v>162</v>
      </c>
      <c r="B75" s="5" t="s">
        <v>132</v>
      </c>
      <c r="C75" s="5" t="s">
        <v>21</v>
      </c>
      <c r="D75" s="5" t="s">
        <v>343</v>
      </c>
      <c r="E75" s="5" t="s">
        <v>344</v>
      </c>
      <c r="F75" s="5" t="s">
        <v>345</v>
      </c>
      <c r="G75" s="5" t="s">
        <v>346</v>
      </c>
      <c r="H75" s="5" t="s">
        <v>347</v>
      </c>
      <c r="I75" s="9" t="s">
        <v>156</v>
      </c>
      <c r="J75" s="5" t="s">
        <v>348</v>
      </c>
      <c r="K75" s="5" t="s">
        <v>140</v>
      </c>
      <c r="L75" s="5" t="s">
        <v>342</v>
      </c>
      <c r="M75" s="5" t="s">
        <v>142</v>
      </c>
    </row>
    <row r="76" spans="1:13" ht="80.099999999999994" customHeight="1">
      <c r="A76" s="6" t="s">
        <v>162</v>
      </c>
      <c r="B76" s="6" t="s">
        <v>132</v>
      </c>
      <c r="C76" s="6" t="s">
        <v>21</v>
      </c>
      <c r="D76" s="6" t="s">
        <v>349</v>
      </c>
      <c r="E76" s="6" t="s">
        <v>350</v>
      </c>
      <c r="F76" s="6" t="s">
        <v>345</v>
      </c>
      <c r="G76" s="6" t="s">
        <v>346</v>
      </c>
      <c r="H76" s="6" t="s">
        <v>351</v>
      </c>
      <c r="I76" s="10" t="s">
        <v>156</v>
      </c>
      <c r="J76" s="6" t="s">
        <v>352</v>
      </c>
      <c r="K76" s="6" t="s">
        <v>140</v>
      </c>
      <c r="L76" s="6" t="s">
        <v>342</v>
      </c>
      <c r="M76" s="6" t="s">
        <v>142</v>
      </c>
    </row>
    <row r="77" spans="1:13" ht="80.099999999999994" customHeight="1">
      <c r="A77" s="5" t="s">
        <v>162</v>
      </c>
      <c r="B77" s="5" t="s">
        <v>132</v>
      </c>
      <c r="C77" s="5" t="s">
        <v>21</v>
      </c>
      <c r="D77" s="5" t="s">
        <v>353</v>
      </c>
      <c r="E77" s="5" t="s">
        <v>354</v>
      </c>
      <c r="F77" s="5" t="s">
        <v>355</v>
      </c>
      <c r="G77" s="5" t="s">
        <v>356</v>
      </c>
      <c r="H77" s="5" t="s">
        <v>357</v>
      </c>
      <c r="I77" s="9" t="s">
        <v>156</v>
      </c>
      <c r="J77" s="5" t="s">
        <v>358</v>
      </c>
      <c r="K77" s="5" t="s">
        <v>140</v>
      </c>
      <c r="L77" s="5" t="s">
        <v>342</v>
      </c>
      <c r="M77" s="5" t="s">
        <v>142</v>
      </c>
    </row>
    <row r="78" spans="1:13" ht="80.099999999999994" customHeight="1">
      <c r="A78" s="7" t="s">
        <v>162</v>
      </c>
      <c r="B78" s="7" t="s">
        <v>132</v>
      </c>
      <c r="C78" s="7" t="s">
        <v>21</v>
      </c>
      <c r="D78" s="7" t="s">
        <v>359</v>
      </c>
      <c r="E78" s="7" t="s">
        <v>360</v>
      </c>
      <c r="F78" s="7" t="s">
        <v>355</v>
      </c>
      <c r="G78" s="7" t="s">
        <v>356</v>
      </c>
      <c r="H78" s="7" t="s">
        <v>361</v>
      </c>
      <c r="I78" s="11" t="s">
        <v>156</v>
      </c>
      <c r="J78" s="7" t="s">
        <v>362</v>
      </c>
      <c r="K78" s="7" t="s">
        <v>140</v>
      </c>
      <c r="L78" s="7" t="s">
        <v>342</v>
      </c>
      <c r="M78" s="7" t="s">
        <v>142</v>
      </c>
    </row>
  </sheetData>
  <mergeCells count="4">
    <mergeCell ref="A1:M1"/>
    <mergeCell ref="A2:J2"/>
    <mergeCell ref="K2:L2"/>
    <mergeCell ref="A3:M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5"/>
  <sheetViews>
    <sheetView showGridLines="0" workbookViewId="0">
      <selection activeCell="B15" sqref="B15"/>
    </sheetView>
  </sheetViews>
  <sheetFormatPr defaultRowHeight="14.25"/>
  <cols>
    <col min="1" max="2" width="24" customWidth="1"/>
    <col min="3" max="3" width="21" customWidth="1"/>
    <col min="4" max="4" width="34" customWidth="1"/>
    <col min="5" max="5" width="42" customWidth="1"/>
    <col min="6" max="6" width="52" customWidth="1"/>
    <col min="7" max="7" width="24" customWidth="1"/>
    <col min="8" max="8" width="52" customWidth="1"/>
    <col min="9" max="9" width="36" customWidth="1"/>
    <col min="10" max="11" width="42" customWidth="1"/>
    <col min="12" max="12" width="48" customWidth="1"/>
  </cols>
  <sheetData>
    <row r="1" spans="1:12" ht="33.950000000000003" customHeight="1">
      <c r="A1" s="14" t="s">
        <v>363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32.1" customHeight="1">
      <c r="A2" s="15" t="s">
        <v>364</v>
      </c>
      <c r="B2" s="15"/>
      <c r="C2" s="15"/>
      <c r="D2" s="15"/>
      <c r="E2" s="15"/>
      <c r="F2" s="15"/>
      <c r="G2" s="15"/>
      <c r="H2" s="15"/>
      <c r="I2" s="15"/>
      <c r="J2" s="16" t="s">
        <v>2</v>
      </c>
      <c r="K2" s="16"/>
      <c r="L2" s="1">
        <f>COUNTA(#REF!)</f>
        <v>1</v>
      </c>
    </row>
    <row r="3" spans="1:12" ht="27.95" customHeight="1">
      <c r="A3" s="17" t="s">
        <v>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42" customHeight="1" thickBot="1">
      <c r="A5" s="2" t="s">
        <v>4</v>
      </c>
      <c r="B5" s="2" t="s">
        <v>5</v>
      </c>
      <c r="C5" s="2" t="s">
        <v>6</v>
      </c>
      <c r="D5" s="2" t="s">
        <v>8</v>
      </c>
      <c r="E5" s="2" t="s">
        <v>9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" t="s">
        <v>17</v>
      </c>
      <c r="L5" s="2" t="s">
        <v>18</v>
      </c>
    </row>
    <row r="6" spans="1:12" ht="66" customHeight="1">
      <c r="A6" s="4" t="s">
        <v>365</v>
      </c>
      <c r="B6" s="4" t="s">
        <v>366</v>
      </c>
      <c r="C6" s="4" t="s">
        <v>367</v>
      </c>
      <c r="D6" s="4" t="s">
        <v>368</v>
      </c>
      <c r="E6" s="4" t="s">
        <v>369</v>
      </c>
      <c r="F6" s="4" t="s">
        <v>370</v>
      </c>
      <c r="G6" s="8" t="s">
        <v>371</v>
      </c>
      <c r="H6" s="4" t="s">
        <v>92</v>
      </c>
      <c r="I6" s="4" t="s">
        <v>92</v>
      </c>
      <c r="J6" s="4" t="s">
        <v>372</v>
      </c>
      <c r="K6" s="4" t="s">
        <v>55</v>
      </c>
      <c r="L6" s="4"/>
    </row>
    <row r="7" spans="1:12" ht="66" customHeight="1">
      <c r="A7" s="5" t="s">
        <v>373</v>
      </c>
      <c r="B7" s="5" t="s">
        <v>374</v>
      </c>
      <c r="C7" s="5" t="s">
        <v>367</v>
      </c>
      <c r="D7" s="5" t="s">
        <v>375</v>
      </c>
      <c r="E7" s="5" t="s">
        <v>376</v>
      </c>
      <c r="F7" s="5" t="s">
        <v>377</v>
      </c>
      <c r="G7" s="9" t="s">
        <v>371</v>
      </c>
      <c r="H7" s="5" t="s">
        <v>92</v>
      </c>
      <c r="I7" s="5" t="s">
        <v>92</v>
      </c>
      <c r="J7" s="5" t="s">
        <v>372</v>
      </c>
      <c r="K7" s="5" t="s">
        <v>55</v>
      </c>
      <c r="L7" s="5"/>
    </row>
    <row r="8" spans="1:12" ht="66" customHeight="1">
      <c r="A8" s="6" t="s">
        <v>373</v>
      </c>
      <c r="B8" s="6" t="s">
        <v>374</v>
      </c>
      <c r="C8" s="6" t="s">
        <v>367</v>
      </c>
      <c r="D8" s="6" t="s">
        <v>378</v>
      </c>
      <c r="E8" s="6" t="s">
        <v>379</v>
      </c>
      <c r="F8" s="6" t="s">
        <v>380</v>
      </c>
      <c r="G8" s="10" t="s">
        <v>371</v>
      </c>
      <c r="H8" s="6" t="s">
        <v>92</v>
      </c>
      <c r="I8" s="6" t="s">
        <v>92</v>
      </c>
      <c r="J8" s="6" t="s">
        <v>372</v>
      </c>
      <c r="K8" s="6" t="s">
        <v>55</v>
      </c>
      <c r="L8" s="6"/>
    </row>
    <row r="9" spans="1:12" ht="66" customHeight="1">
      <c r="A9" s="5" t="s">
        <v>373</v>
      </c>
      <c r="B9" s="5" t="s">
        <v>374</v>
      </c>
      <c r="C9" s="5" t="s">
        <v>367</v>
      </c>
      <c r="D9" s="5" t="s">
        <v>381</v>
      </c>
      <c r="E9" s="5" t="s">
        <v>382</v>
      </c>
      <c r="F9" s="5" t="s">
        <v>383</v>
      </c>
      <c r="G9" s="9" t="s">
        <v>371</v>
      </c>
      <c r="H9" s="5" t="s">
        <v>92</v>
      </c>
      <c r="I9" s="5" t="s">
        <v>92</v>
      </c>
      <c r="J9" s="5" t="s">
        <v>372</v>
      </c>
      <c r="K9" s="5" t="s">
        <v>55</v>
      </c>
      <c r="L9" s="5"/>
    </row>
    <row r="10" spans="1:12" ht="66" customHeight="1">
      <c r="A10" s="6" t="s">
        <v>384</v>
      </c>
      <c r="B10" s="6" t="s">
        <v>385</v>
      </c>
      <c r="C10" s="6" t="s">
        <v>367</v>
      </c>
      <c r="D10" s="6" t="s">
        <v>386</v>
      </c>
      <c r="E10" s="6" t="s">
        <v>387</v>
      </c>
      <c r="F10" s="6" t="s">
        <v>388</v>
      </c>
      <c r="G10" s="10" t="s">
        <v>371</v>
      </c>
      <c r="H10" s="6" t="s">
        <v>92</v>
      </c>
      <c r="I10" s="6" t="s">
        <v>92</v>
      </c>
      <c r="J10" s="6" t="s">
        <v>372</v>
      </c>
      <c r="K10" s="6" t="s">
        <v>55</v>
      </c>
      <c r="L10" s="6"/>
    </row>
    <row r="11" spans="1:12" ht="66" customHeight="1">
      <c r="A11" s="5" t="s">
        <v>384</v>
      </c>
      <c r="B11" s="5" t="s">
        <v>389</v>
      </c>
      <c r="C11" s="5" t="s">
        <v>367</v>
      </c>
      <c r="D11" s="5" t="s">
        <v>390</v>
      </c>
      <c r="E11" s="5" t="s">
        <v>391</v>
      </c>
      <c r="F11" s="5" t="s">
        <v>392</v>
      </c>
      <c r="G11" s="9" t="s">
        <v>371</v>
      </c>
      <c r="H11" s="5" t="s">
        <v>92</v>
      </c>
      <c r="I11" s="5" t="s">
        <v>92</v>
      </c>
      <c r="J11" s="5" t="s">
        <v>372</v>
      </c>
      <c r="K11" s="5" t="s">
        <v>55</v>
      </c>
      <c r="L11" s="5" t="s">
        <v>393</v>
      </c>
    </row>
    <row r="12" spans="1:12" ht="66" customHeight="1">
      <c r="A12" s="6" t="s">
        <v>373</v>
      </c>
      <c r="B12" s="6" t="s">
        <v>366</v>
      </c>
      <c r="C12" s="6" t="s">
        <v>367</v>
      </c>
      <c r="D12" s="6" t="s">
        <v>394</v>
      </c>
      <c r="E12" s="6" t="s">
        <v>395</v>
      </c>
      <c r="F12" s="6" t="s">
        <v>396</v>
      </c>
      <c r="G12" s="10" t="s">
        <v>371</v>
      </c>
      <c r="H12" s="6" t="s">
        <v>92</v>
      </c>
      <c r="I12" s="6" t="s">
        <v>92</v>
      </c>
      <c r="J12" s="6" t="s">
        <v>372</v>
      </c>
      <c r="K12" s="6" t="s">
        <v>55</v>
      </c>
      <c r="L12" s="6"/>
    </row>
    <row r="13" spans="1:12" ht="66" customHeight="1">
      <c r="A13" s="5" t="s">
        <v>384</v>
      </c>
      <c r="B13" s="5" t="s">
        <v>397</v>
      </c>
      <c r="C13" s="5" t="s">
        <v>367</v>
      </c>
      <c r="D13" s="5" t="s">
        <v>398</v>
      </c>
      <c r="E13" s="5" t="s">
        <v>399</v>
      </c>
      <c r="F13" s="5" t="s">
        <v>400</v>
      </c>
      <c r="G13" s="9" t="s">
        <v>371</v>
      </c>
      <c r="H13" s="5" t="s">
        <v>92</v>
      </c>
      <c r="I13" s="5" t="s">
        <v>92</v>
      </c>
      <c r="J13" s="5" t="s">
        <v>372</v>
      </c>
      <c r="K13" s="5" t="s">
        <v>55</v>
      </c>
      <c r="L13" s="5"/>
    </row>
    <row r="14" spans="1:12" ht="66" customHeight="1">
      <c r="A14" s="6" t="s">
        <v>373</v>
      </c>
      <c r="B14" s="6" t="s">
        <v>401</v>
      </c>
      <c r="C14" s="6" t="s">
        <v>367</v>
      </c>
      <c r="D14" s="6" t="s">
        <v>402</v>
      </c>
      <c r="E14" s="6" t="s">
        <v>403</v>
      </c>
      <c r="F14" s="6" t="s">
        <v>404</v>
      </c>
      <c r="G14" s="10" t="s">
        <v>371</v>
      </c>
      <c r="H14" s="6" t="s">
        <v>92</v>
      </c>
      <c r="I14" s="6" t="s">
        <v>92</v>
      </c>
      <c r="J14" s="6" t="s">
        <v>372</v>
      </c>
      <c r="K14" s="6" t="s">
        <v>55</v>
      </c>
      <c r="L14" s="6"/>
    </row>
    <row r="15" spans="1:12" ht="66" customHeight="1">
      <c r="A15" s="5" t="s">
        <v>373</v>
      </c>
      <c r="B15" s="5" t="s">
        <v>401</v>
      </c>
      <c r="C15" s="5" t="s">
        <v>367</v>
      </c>
      <c r="D15" s="5" t="s">
        <v>405</v>
      </c>
      <c r="E15" s="5" t="s">
        <v>406</v>
      </c>
      <c r="F15" s="5" t="s">
        <v>407</v>
      </c>
      <c r="G15" s="9" t="s">
        <v>371</v>
      </c>
      <c r="H15" s="5" t="s">
        <v>92</v>
      </c>
      <c r="I15" s="5" t="s">
        <v>92</v>
      </c>
      <c r="J15" s="5" t="s">
        <v>372</v>
      </c>
      <c r="K15" s="5" t="s">
        <v>55</v>
      </c>
      <c r="L15" s="5"/>
    </row>
    <row r="16" spans="1:12" ht="66" customHeight="1">
      <c r="A16" s="6" t="s">
        <v>365</v>
      </c>
      <c r="B16" s="6" t="s">
        <v>401</v>
      </c>
      <c r="C16" s="6" t="s">
        <v>367</v>
      </c>
      <c r="D16" s="6" t="s">
        <v>408</v>
      </c>
      <c r="E16" s="6" t="s">
        <v>409</v>
      </c>
      <c r="F16" s="6" t="s">
        <v>410</v>
      </c>
      <c r="G16" s="10" t="s">
        <v>371</v>
      </c>
      <c r="H16" s="6" t="s">
        <v>92</v>
      </c>
      <c r="I16" s="6" t="s">
        <v>92</v>
      </c>
      <c r="J16" s="6" t="s">
        <v>372</v>
      </c>
      <c r="K16" s="6" t="s">
        <v>55</v>
      </c>
      <c r="L16" s="6"/>
    </row>
    <row r="17" spans="1:12" ht="66" customHeight="1">
      <c r="A17" s="5" t="s">
        <v>373</v>
      </c>
      <c r="B17" s="5" t="s">
        <v>374</v>
      </c>
      <c r="C17" s="5" t="s">
        <v>367</v>
      </c>
      <c r="D17" s="5" t="s">
        <v>411</v>
      </c>
      <c r="E17" s="5" t="s">
        <v>412</v>
      </c>
      <c r="F17" s="5" t="s">
        <v>413</v>
      </c>
      <c r="G17" s="9" t="s">
        <v>371</v>
      </c>
      <c r="H17" s="5" t="s">
        <v>92</v>
      </c>
      <c r="I17" s="5" t="s">
        <v>92</v>
      </c>
      <c r="J17" s="5" t="s">
        <v>372</v>
      </c>
      <c r="K17" s="5" t="s">
        <v>55</v>
      </c>
      <c r="L17" s="5"/>
    </row>
    <row r="18" spans="1:12" ht="66" customHeight="1">
      <c r="A18" s="6" t="s">
        <v>373</v>
      </c>
      <c r="B18" s="6" t="s">
        <v>374</v>
      </c>
      <c r="C18" s="6" t="s">
        <v>367</v>
      </c>
      <c r="D18" s="6" t="s">
        <v>414</v>
      </c>
      <c r="E18" s="6" t="s">
        <v>415</v>
      </c>
      <c r="F18" s="6" t="s">
        <v>416</v>
      </c>
      <c r="G18" s="10" t="s">
        <v>371</v>
      </c>
      <c r="H18" s="6" t="s">
        <v>92</v>
      </c>
      <c r="I18" s="6" t="s">
        <v>92</v>
      </c>
      <c r="J18" s="6" t="s">
        <v>372</v>
      </c>
      <c r="K18" s="6" t="s">
        <v>55</v>
      </c>
      <c r="L18" s="6"/>
    </row>
    <row r="19" spans="1:12" ht="66" customHeight="1">
      <c r="A19" s="5" t="s">
        <v>373</v>
      </c>
      <c r="B19" s="5" t="s">
        <v>374</v>
      </c>
      <c r="C19" s="5" t="s">
        <v>367</v>
      </c>
      <c r="D19" s="5" t="s">
        <v>417</v>
      </c>
      <c r="E19" s="5" t="s">
        <v>418</v>
      </c>
      <c r="F19" s="5" t="s">
        <v>419</v>
      </c>
      <c r="G19" s="9" t="s">
        <v>371</v>
      </c>
      <c r="H19" s="5" t="s">
        <v>92</v>
      </c>
      <c r="I19" s="5" t="s">
        <v>92</v>
      </c>
      <c r="J19" s="5" t="s">
        <v>372</v>
      </c>
      <c r="K19" s="5" t="s">
        <v>55</v>
      </c>
      <c r="L19" s="5"/>
    </row>
    <row r="20" spans="1:12" ht="66" customHeight="1">
      <c r="A20" s="6" t="s">
        <v>384</v>
      </c>
      <c r="B20" s="6" t="s">
        <v>385</v>
      </c>
      <c r="C20" s="6" t="s">
        <v>367</v>
      </c>
      <c r="D20" s="6" t="s">
        <v>420</v>
      </c>
      <c r="E20" s="6" t="s">
        <v>421</v>
      </c>
      <c r="F20" s="6" t="s">
        <v>422</v>
      </c>
      <c r="G20" s="10" t="s">
        <v>371</v>
      </c>
      <c r="H20" s="6" t="s">
        <v>92</v>
      </c>
      <c r="I20" s="6" t="s">
        <v>92</v>
      </c>
      <c r="J20" s="6" t="s">
        <v>372</v>
      </c>
      <c r="K20" s="6" t="s">
        <v>55</v>
      </c>
      <c r="L20" s="6"/>
    </row>
    <row r="21" spans="1:12" ht="66" customHeight="1">
      <c r="A21" s="5" t="s">
        <v>384</v>
      </c>
      <c r="B21" s="5" t="s">
        <v>389</v>
      </c>
      <c r="C21" s="5" t="s">
        <v>367</v>
      </c>
      <c r="D21" s="5" t="s">
        <v>423</v>
      </c>
      <c r="E21" s="5" t="s">
        <v>424</v>
      </c>
      <c r="F21" s="5" t="s">
        <v>425</v>
      </c>
      <c r="G21" s="9" t="s">
        <v>371</v>
      </c>
      <c r="H21" s="5" t="s">
        <v>92</v>
      </c>
      <c r="I21" s="5" t="s">
        <v>92</v>
      </c>
      <c r="J21" s="5" t="s">
        <v>372</v>
      </c>
      <c r="K21" s="5" t="s">
        <v>55</v>
      </c>
      <c r="L21" s="5"/>
    </row>
    <row r="22" spans="1:12" ht="66" customHeight="1">
      <c r="A22" s="6" t="s">
        <v>426</v>
      </c>
      <c r="B22" s="6" t="s">
        <v>427</v>
      </c>
      <c r="C22" s="6" t="s">
        <v>367</v>
      </c>
      <c r="D22" s="6" t="s">
        <v>428</v>
      </c>
      <c r="E22" s="6" t="s">
        <v>429</v>
      </c>
      <c r="F22" s="6" t="s">
        <v>430</v>
      </c>
      <c r="G22" s="10" t="s">
        <v>371</v>
      </c>
      <c r="H22" s="6" t="s">
        <v>92</v>
      </c>
      <c r="I22" s="6" t="s">
        <v>92</v>
      </c>
      <c r="J22" s="6" t="s">
        <v>372</v>
      </c>
      <c r="K22" s="6" t="s">
        <v>55</v>
      </c>
      <c r="L22" s="6"/>
    </row>
    <row r="23" spans="1:12" ht="66" customHeight="1">
      <c r="A23" s="5" t="s">
        <v>431</v>
      </c>
      <c r="B23" s="5" t="s">
        <v>432</v>
      </c>
      <c r="C23" s="5" t="s">
        <v>367</v>
      </c>
      <c r="D23" s="5" t="s">
        <v>433</v>
      </c>
      <c r="E23" s="5" t="s">
        <v>434</v>
      </c>
      <c r="F23" s="5" t="s">
        <v>435</v>
      </c>
      <c r="G23" s="9" t="s">
        <v>436</v>
      </c>
      <c r="H23" s="5" t="s">
        <v>92</v>
      </c>
      <c r="I23" s="5" t="s">
        <v>92</v>
      </c>
      <c r="J23" s="5" t="s">
        <v>437</v>
      </c>
      <c r="K23" s="5" t="s">
        <v>55</v>
      </c>
      <c r="L23" s="5"/>
    </row>
    <row r="24" spans="1:12" ht="66" customHeight="1">
      <c r="A24" s="6" t="s">
        <v>438</v>
      </c>
      <c r="B24" s="6" t="s">
        <v>432</v>
      </c>
      <c r="C24" s="6" t="s">
        <v>367</v>
      </c>
      <c r="D24" s="6" t="s">
        <v>439</v>
      </c>
      <c r="E24" s="6" t="s">
        <v>440</v>
      </c>
      <c r="F24" s="6" t="s">
        <v>441</v>
      </c>
      <c r="G24" s="10" t="s">
        <v>436</v>
      </c>
      <c r="H24" s="6" t="s">
        <v>92</v>
      </c>
      <c r="I24" s="6" t="s">
        <v>92</v>
      </c>
      <c r="J24" s="6" t="s">
        <v>437</v>
      </c>
      <c r="K24" s="6" t="s">
        <v>55</v>
      </c>
      <c r="L24" s="6"/>
    </row>
    <row r="25" spans="1:12" ht="66" customHeight="1">
      <c r="A25" s="5" t="s">
        <v>431</v>
      </c>
      <c r="B25" s="5" t="s">
        <v>432</v>
      </c>
      <c r="C25" s="5" t="s">
        <v>367</v>
      </c>
      <c r="D25" s="5" t="s">
        <v>442</v>
      </c>
      <c r="E25" s="5" t="s">
        <v>443</v>
      </c>
      <c r="F25" s="5" t="s">
        <v>444</v>
      </c>
      <c r="G25" s="9" t="s">
        <v>436</v>
      </c>
      <c r="H25" s="5" t="s">
        <v>92</v>
      </c>
      <c r="I25" s="5" t="s">
        <v>92</v>
      </c>
      <c r="J25" s="5" t="s">
        <v>437</v>
      </c>
      <c r="K25" s="5" t="s">
        <v>55</v>
      </c>
      <c r="L25" s="5"/>
    </row>
    <row r="26" spans="1:12" ht="66" customHeight="1">
      <c r="A26" s="6" t="s">
        <v>438</v>
      </c>
      <c r="B26" s="6" t="s">
        <v>445</v>
      </c>
      <c r="C26" s="6" t="s">
        <v>367</v>
      </c>
      <c r="D26" s="6" t="s">
        <v>446</v>
      </c>
      <c r="E26" s="6" t="s">
        <v>447</v>
      </c>
      <c r="F26" s="6" t="s">
        <v>448</v>
      </c>
      <c r="G26" s="10" t="s">
        <v>371</v>
      </c>
      <c r="H26" s="6" t="s">
        <v>92</v>
      </c>
      <c r="I26" s="6" t="s">
        <v>92</v>
      </c>
      <c r="J26" s="6" t="s">
        <v>372</v>
      </c>
      <c r="K26" s="6" t="s">
        <v>55</v>
      </c>
      <c r="L26" s="6"/>
    </row>
    <row r="27" spans="1:12" ht="66" customHeight="1">
      <c r="A27" s="5" t="s">
        <v>431</v>
      </c>
      <c r="B27" s="5" t="s">
        <v>445</v>
      </c>
      <c r="C27" s="5" t="s">
        <v>367</v>
      </c>
      <c r="D27" s="5" t="s">
        <v>449</v>
      </c>
      <c r="E27" s="5" t="s">
        <v>450</v>
      </c>
      <c r="F27" s="5" t="s">
        <v>451</v>
      </c>
      <c r="G27" s="9" t="s">
        <v>371</v>
      </c>
      <c r="H27" s="5" t="s">
        <v>92</v>
      </c>
      <c r="I27" s="5" t="s">
        <v>92</v>
      </c>
      <c r="J27" s="5" t="s">
        <v>372</v>
      </c>
      <c r="K27" s="5" t="s">
        <v>55</v>
      </c>
      <c r="L27" s="5"/>
    </row>
    <row r="28" spans="1:12" ht="66" customHeight="1">
      <c r="A28" s="6" t="s">
        <v>431</v>
      </c>
      <c r="B28" s="6" t="s">
        <v>445</v>
      </c>
      <c r="C28" s="6" t="s">
        <v>367</v>
      </c>
      <c r="D28" s="6" t="s">
        <v>452</v>
      </c>
      <c r="E28" s="6" t="s">
        <v>453</v>
      </c>
      <c r="F28" s="6" t="s">
        <v>454</v>
      </c>
      <c r="G28" s="10" t="s">
        <v>371</v>
      </c>
      <c r="H28" s="6" t="s">
        <v>92</v>
      </c>
      <c r="I28" s="6" t="s">
        <v>92</v>
      </c>
      <c r="J28" s="6" t="s">
        <v>372</v>
      </c>
      <c r="K28" s="6" t="s">
        <v>55</v>
      </c>
      <c r="L28" s="6"/>
    </row>
    <row r="29" spans="1:12" ht="66" customHeight="1">
      <c r="A29" s="5" t="s">
        <v>431</v>
      </c>
      <c r="B29" s="5" t="s">
        <v>445</v>
      </c>
      <c r="C29" s="5" t="s">
        <v>367</v>
      </c>
      <c r="D29" s="5" t="s">
        <v>455</v>
      </c>
      <c r="E29" s="5" t="s">
        <v>456</v>
      </c>
      <c r="F29" s="5" t="s">
        <v>457</v>
      </c>
      <c r="G29" s="9" t="s">
        <v>371</v>
      </c>
      <c r="H29" s="5" t="s">
        <v>92</v>
      </c>
      <c r="I29" s="5" t="s">
        <v>92</v>
      </c>
      <c r="J29" s="5" t="s">
        <v>372</v>
      </c>
      <c r="K29" s="5" t="s">
        <v>55</v>
      </c>
      <c r="L29" s="5"/>
    </row>
    <row r="30" spans="1:12" ht="66" customHeight="1">
      <c r="A30" s="6" t="s">
        <v>431</v>
      </c>
      <c r="B30" s="6" t="s">
        <v>445</v>
      </c>
      <c r="C30" s="6" t="s">
        <v>367</v>
      </c>
      <c r="D30" s="6" t="s">
        <v>458</v>
      </c>
      <c r="E30" s="6" t="s">
        <v>459</v>
      </c>
      <c r="F30" s="6" t="s">
        <v>460</v>
      </c>
      <c r="G30" s="10" t="s">
        <v>371</v>
      </c>
      <c r="H30" s="6" t="s">
        <v>92</v>
      </c>
      <c r="I30" s="6" t="s">
        <v>92</v>
      </c>
      <c r="J30" s="6" t="s">
        <v>372</v>
      </c>
      <c r="K30" s="6" t="s">
        <v>55</v>
      </c>
      <c r="L30" s="6"/>
    </row>
    <row r="31" spans="1:12" ht="66" customHeight="1">
      <c r="A31" s="5" t="s">
        <v>431</v>
      </c>
      <c r="B31" s="5" t="s">
        <v>445</v>
      </c>
      <c r="C31" s="5" t="s">
        <v>367</v>
      </c>
      <c r="D31" s="5" t="s">
        <v>461</v>
      </c>
      <c r="E31" s="5" t="s">
        <v>462</v>
      </c>
      <c r="F31" s="5" t="s">
        <v>463</v>
      </c>
      <c r="G31" s="9" t="s">
        <v>371</v>
      </c>
      <c r="H31" s="5" t="s">
        <v>92</v>
      </c>
      <c r="I31" s="5" t="s">
        <v>92</v>
      </c>
      <c r="J31" s="5" t="s">
        <v>372</v>
      </c>
      <c r="K31" s="5" t="s">
        <v>55</v>
      </c>
      <c r="L31" s="5"/>
    </row>
    <row r="32" spans="1:12" ht="66" customHeight="1">
      <c r="A32" s="6" t="s">
        <v>464</v>
      </c>
      <c r="B32" s="6" t="s">
        <v>465</v>
      </c>
      <c r="C32" s="6" t="s">
        <v>367</v>
      </c>
      <c r="D32" s="6" t="s">
        <v>466</v>
      </c>
      <c r="E32" s="6" t="s">
        <v>467</v>
      </c>
      <c r="F32" s="6" t="s">
        <v>468</v>
      </c>
      <c r="G32" s="10" t="s">
        <v>469</v>
      </c>
      <c r="H32" s="6" t="s">
        <v>92</v>
      </c>
      <c r="I32" s="6" t="s">
        <v>92</v>
      </c>
      <c r="J32" s="6" t="s">
        <v>470</v>
      </c>
      <c r="K32" s="6" t="s">
        <v>131</v>
      </c>
      <c r="L32" s="6"/>
    </row>
    <row r="33" spans="1:12" ht="66" customHeight="1">
      <c r="A33" s="5" t="s">
        <v>471</v>
      </c>
      <c r="B33" s="5" t="s">
        <v>465</v>
      </c>
      <c r="C33" s="5" t="s">
        <v>367</v>
      </c>
      <c r="D33" s="5" t="s">
        <v>472</v>
      </c>
      <c r="E33" s="5" t="s">
        <v>473</v>
      </c>
      <c r="F33" s="5" t="s">
        <v>474</v>
      </c>
      <c r="G33" s="9" t="s">
        <v>469</v>
      </c>
      <c r="H33" s="5" t="s">
        <v>92</v>
      </c>
      <c r="I33" s="5" t="s">
        <v>92</v>
      </c>
      <c r="J33" s="5" t="s">
        <v>470</v>
      </c>
      <c r="K33" s="5" t="s">
        <v>131</v>
      </c>
      <c r="L33" s="5"/>
    </row>
    <row r="34" spans="1:12" ht="66" customHeight="1">
      <c r="A34" s="6" t="s">
        <v>471</v>
      </c>
      <c r="B34" s="6" t="s">
        <v>465</v>
      </c>
      <c r="C34" s="6" t="s">
        <v>367</v>
      </c>
      <c r="D34" s="6" t="s">
        <v>475</v>
      </c>
      <c r="E34" s="6" t="s">
        <v>476</v>
      </c>
      <c r="F34" s="6" t="s">
        <v>477</v>
      </c>
      <c r="G34" s="10" t="s">
        <v>469</v>
      </c>
      <c r="H34" s="6" t="s">
        <v>92</v>
      </c>
      <c r="I34" s="6" t="s">
        <v>92</v>
      </c>
      <c r="J34" s="6" t="s">
        <v>470</v>
      </c>
      <c r="K34" s="6" t="s">
        <v>131</v>
      </c>
      <c r="L34" s="6"/>
    </row>
    <row r="35" spans="1:12" ht="66" customHeight="1">
      <c r="A35" s="5" t="s">
        <v>471</v>
      </c>
      <c r="B35" s="5" t="s">
        <v>465</v>
      </c>
      <c r="C35" s="5" t="s">
        <v>367</v>
      </c>
      <c r="D35" s="5" t="s">
        <v>478</v>
      </c>
      <c r="E35" s="5" t="s">
        <v>479</v>
      </c>
      <c r="F35" s="5" t="s">
        <v>480</v>
      </c>
      <c r="G35" s="9" t="s">
        <v>469</v>
      </c>
      <c r="H35" s="5" t="s">
        <v>92</v>
      </c>
      <c r="I35" s="5" t="s">
        <v>92</v>
      </c>
      <c r="J35" s="5" t="s">
        <v>470</v>
      </c>
      <c r="K35" s="5" t="s">
        <v>131</v>
      </c>
      <c r="L35" s="5"/>
    </row>
    <row r="36" spans="1:12" ht="66" customHeight="1">
      <c r="A36" s="6" t="s">
        <v>471</v>
      </c>
      <c r="B36" s="6" t="s">
        <v>465</v>
      </c>
      <c r="C36" s="6" t="s">
        <v>367</v>
      </c>
      <c r="D36" s="6" t="s">
        <v>481</v>
      </c>
      <c r="E36" s="6" t="s">
        <v>482</v>
      </c>
      <c r="F36" s="6" t="s">
        <v>483</v>
      </c>
      <c r="G36" s="10" t="s">
        <v>469</v>
      </c>
      <c r="H36" s="6" t="s">
        <v>92</v>
      </c>
      <c r="I36" s="6" t="s">
        <v>92</v>
      </c>
      <c r="J36" s="6" t="s">
        <v>484</v>
      </c>
      <c r="K36" s="6" t="s">
        <v>131</v>
      </c>
      <c r="L36" s="6"/>
    </row>
    <row r="37" spans="1:12" ht="66" customHeight="1">
      <c r="A37" s="5" t="s">
        <v>464</v>
      </c>
      <c r="B37" s="5" t="s">
        <v>485</v>
      </c>
      <c r="C37" s="5" t="s">
        <v>367</v>
      </c>
      <c r="D37" s="5" t="s">
        <v>486</v>
      </c>
      <c r="E37" s="5" t="s">
        <v>487</v>
      </c>
      <c r="F37" s="5" t="s">
        <v>488</v>
      </c>
      <c r="G37" s="9" t="s">
        <v>489</v>
      </c>
      <c r="H37" s="5" t="s">
        <v>92</v>
      </c>
      <c r="I37" s="5" t="s">
        <v>92</v>
      </c>
      <c r="J37" s="5" t="s">
        <v>490</v>
      </c>
      <c r="K37" s="5" t="s">
        <v>93</v>
      </c>
      <c r="L37" s="5"/>
    </row>
    <row r="38" spans="1:12" ht="66" customHeight="1">
      <c r="A38" s="6" t="s">
        <v>471</v>
      </c>
      <c r="B38" s="6" t="s">
        <v>485</v>
      </c>
      <c r="C38" s="6" t="s">
        <v>367</v>
      </c>
      <c r="D38" s="6" t="s">
        <v>491</v>
      </c>
      <c r="E38" s="6" t="s">
        <v>492</v>
      </c>
      <c r="F38" s="6" t="s">
        <v>493</v>
      </c>
      <c r="G38" s="10" t="s">
        <v>489</v>
      </c>
      <c r="H38" s="6" t="s">
        <v>92</v>
      </c>
      <c r="I38" s="6" t="s">
        <v>92</v>
      </c>
      <c r="J38" s="6" t="s">
        <v>490</v>
      </c>
      <c r="K38" s="6" t="s">
        <v>93</v>
      </c>
      <c r="L38" s="6"/>
    </row>
    <row r="39" spans="1:12" ht="66" customHeight="1">
      <c r="A39" s="5" t="s">
        <v>471</v>
      </c>
      <c r="B39" s="5" t="s">
        <v>485</v>
      </c>
      <c r="C39" s="5" t="s">
        <v>367</v>
      </c>
      <c r="D39" s="5" t="s">
        <v>494</v>
      </c>
      <c r="E39" s="5" t="s">
        <v>495</v>
      </c>
      <c r="F39" s="5" t="s">
        <v>496</v>
      </c>
      <c r="G39" s="9" t="s">
        <v>489</v>
      </c>
      <c r="H39" s="5" t="s">
        <v>92</v>
      </c>
      <c r="I39" s="5" t="s">
        <v>92</v>
      </c>
      <c r="J39" s="5" t="s">
        <v>490</v>
      </c>
      <c r="K39" s="5" t="s">
        <v>93</v>
      </c>
      <c r="L39" s="5"/>
    </row>
    <row r="40" spans="1:12" ht="66" customHeight="1">
      <c r="A40" s="6" t="s">
        <v>471</v>
      </c>
      <c r="B40" s="6" t="s">
        <v>485</v>
      </c>
      <c r="C40" s="6" t="s">
        <v>367</v>
      </c>
      <c r="D40" s="6" t="s">
        <v>497</v>
      </c>
      <c r="E40" s="6" t="s">
        <v>498</v>
      </c>
      <c r="F40" s="6" t="s">
        <v>499</v>
      </c>
      <c r="G40" s="10" t="s">
        <v>500</v>
      </c>
      <c r="H40" s="6" t="s">
        <v>92</v>
      </c>
      <c r="I40" s="6" t="s">
        <v>92</v>
      </c>
      <c r="J40" s="6" t="s">
        <v>501</v>
      </c>
      <c r="K40" s="6" t="s">
        <v>93</v>
      </c>
      <c r="L40" s="6"/>
    </row>
    <row r="41" spans="1:12" ht="66" customHeight="1">
      <c r="A41" s="5" t="s">
        <v>471</v>
      </c>
      <c r="B41" s="5" t="s">
        <v>502</v>
      </c>
      <c r="C41" s="5" t="s">
        <v>367</v>
      </c>
      <c r="D41" s="5" t="s">
        <v>503</v>
      </c>
      <c r="E41" s="5" t="s">
        <v>504</v>
      </c>
      <c r="F41" s="5" t="s">
        <v>505</v>
      </c>
      <c r="G41" s="9" t="s">
        <v>506</v>
      </c>
      <c r="H41" s="5" t="s">
        <v>92</v>
      </c>
      <c r="I41" s="5" t="s">
        <v>92</v>
      </c>
      <c r="J41" s="5" t="s">
        <v>507</v>
      </c>
      <c r="K41" s="5" t="s">
        <v>131</v>
      </c>
      <c r="L41" s="5"/>
    </row>
    <row r="42" spans="1:12" ht="66" customHeight="1">
      <c r="A42" s="6" t="s">
        <v>508</v>
      </c>
      <c r="B42" s="6" t="s">
        <v>389</v>
      </c>
      <c r="C42" s="6" t="s">
        <v>367</v>
      </c>
      <c r="D42" s="6" t="s">
        <v>509</v>
      </c>
      <c r="E42" s="6" t="s">
        <v>510</v>
      </c>
      <c r="F42" s="6" t="s">
        <v>511</v>
      </c>
      <c r="G42" s="10" t="s">
        <v>512</v>
      </c>
      <c r="H42" s="6" t="s">
        <v>92</v>
      </c>
      <c r="I42" s="6" t="s">
        <v>92</v>
      </c>
      <c r="J42" s="6" t="s">
        <v>513</v>
      </c>
      <c r="K42" s="6" t="s">
        <v>55</v>
      </c>
      <c r="L42" s="6" t="s">
        <v>393</v>
      </c>
    </row>
    <row r="43" spans="1:12" ht="66" customHeight="1">
      <c r="A43" s="5" t="s">
        <v>384</v>
      </c>
      <c r="B43" s="5" t="s">
        <v>514</v>
      </c>
      <c r="C43" s="5" t="s">
        <v>515</v>
      </c>
      <c r="D43" s="5" t="s">
        <v>181</v>
      </c>
      <c r="E43" s="5" t="s">
        <v>182</v>
      </c>
      <c r="F43" s="5" t="s">
        <v>516</v>
      </c>
      <c r="G43" s="9" t="s">
        <v>517</v>
      </c>
      <c r="H43" s="5" t="s">
        <v>92</v>
      </c>
      <c r="I43" s="5" t="s">
        <v>92</v>
      </c>
      <c r="J43" s="5" t="s">
        <v>518</v>
      </c>
      <c r="K43" s="5" t="s">
        <v>55</v>
      </c>
      <c r="L43" s="5" t="s">
        <v>519</v>
      </c>
    </row>
    <row r="44" spans="1:12" ht="66" customHeight="1">
      <c r="A44" s="6" t="s">
        <v>384</v>
      </c>
      <c r="B44" s="6" t="s">
        <v>385</v>
      </c>
      <c r="C44" s="6" t="s">
        <v>515</v>
      </c>
      <c r="D44" s="6" t="s">
        <v>520</v>
      </c>
      <c r="E44" s="6" t="s">
        <v>521</v>
      </c>
      <c r="F44" s="6" t="s">
        <v>522</v>
      </c>
      <c r="G44" s="10" t="s">
        <v>371</v>
      </c>
      <c r="H44" s="6" t="s">
        <v>92</v>
      </c>
      <c r="I44" s="6" t="s">
        <v>92</v>
      </c>
      <c r="J44" s="6" t="s">
        <v>518</v>
      </c>
      <c r="K44" s="6" t="s">
        <v>55</v>
      </c>
      <c r="L44" s="6" t="s">
        <v>519</v>
      </c>
    </row>
    <row r="45" spans="1:12" ht="66" customHeight="1">
      <c r="A45" s="5" t="s">
        <v>426</v>
      </c>
      <c r="B45" s="5" t="s">
        <v>523</v>
      </c>
      <c r="C45" s="5" t="s">
        <v>515</v>
      </c>
      <c r="D45" s="5" t="s">
        <v>258</v>
      </c>
      <c r="E45" s="5" t="s">
        <v>259</v>
      </c>
      <c r="F45" s="5" t="s">
        <v>524</v>
      </c>
      <c r="G45" s="9" t="s">
        <v>517</v>
      </c>
      <c r="H45" s="5" t="s">
        <v>92</v>
      </c>
      <c r="I45" s="5" t="s">
        <v>92</v>
      </c>
      <c r="J45" s="5" t="s">
        <v>518</v>
      </c>
      <c r="K45" s="5" t="s">
        <v>55</v>
      </c>
      <c r="L45" s="5" t="s">
        <v>519</v>
      </c>
    </row>
    <row r="46" spans="1:12" ht="66" customHeight="1">
      <c r="A46" s="6" t="s">
        <v>426</v>
      </c>
      <c r="B46" s="6" t="s">
        <v>523</v>
      </c>
      <c r="C46" s="6" t="s">
        <v>515</v>
      </c>
      <c r="D46" s="6" t="s">
        <v>262</v>
      </c>
      <c r="E46" s="6" t="s">
        <v>263</v>
      </c>
      <c r="F46" s="6" t="s">
        <v>525</v>
      </c>
      <c r="G46" s="10" t="s">
        <v>526</v>
      </c>
      <c r="H46" s="6" t="s">
        <v>92</v>
      </c>
      <c r="I46" s="6" t="s">
        <v>92</v>
      </c>
      <c r="J46" s="6" t="s">
        <v>518</v>
      </c>
      <c r="K46" s="6" t="s">
        <v>55</v>
      </c>
      <c r="L46" s="6" t="s">
        <v>519</v>
      </c>
    </row>
    <row r="47" spans="1:12" ht="66" customHeight="1">
      <c r="A47" s="5" t="s">
        <v>426</v>
      </c>
      <c r="B47" s="5" t="s">
        <v>523</v>
      </c>
      <c r="C47" s="5" t="s">
        <v>515</v>
      </c>
      <c r="D47" s="5" t="s">
        <v>266</v>
      </c>
      <c r="E47" s="5" t="s">
        <v>267</v>
      </c>
      <c r="F47" s="5" t="s">
        <v>527</v>
      </c>
      <c r="G47" s="9" t="s">
        <v>526</v>
      </c>
      <c r="H47" s="5" t="s">
        <v>92</v>
      </c>
      <c r="I47" s="5" t="s">
        <v>92</v>
      </c>
      <c r="J47" s="5" t="s">
        <v>518</v>
      </c>
      <c r="K47" s="5" t="s">
        <v>55</v>
      </c>
      <c r="L47" s="5" t="s">
        <v>519</v>
      </c>
    </row>
    <row r="48" spans="1:12" ht="66" customHeight="1">
      <c r="A48" s="6" t="s">
        <v>426</v>
      </c>
      <c r="B48" s="6" t="s">
        <v>523</v>
      </c>
      <c r="C48" s="6" t="s">
        <v>515</v>
      </c>
      <c r="D48" s="6" t="s">
        <v>270</v>
      </c>
      <c r="E48" s="6" t="s">
        <v>271</v>
      </c>
      <c r="F48" s="6" t="s">
        <v>528</v>
      </c>
      <c r="G48" s="10" t="s">
        <v>526</v>
      </c>
      <c r="H48" s="6" t="s">
        <v>92</v>
      </c>
      <c r="I48" s="6" t="s">
        <v>92</v>
      </c>
      <c r="J48" s="6" t="s">
        <v>518</v>
      </c>
      <c r="K48" s="6" t="s">
        <v>55</v>
      </c>
      <c r="L48" s="6" t="s">
        <v>519</v>
      </c>
    </row>
    <row r="49" spans="1:12" ht="66" customHeight="1">
      <c r="A49" s="5" t="s">
        <v>426</v>
      </c>
      <c r="B49" s="5" t="s">
        <v>523</v>
      </c>
      <c r="C49" s="5" t="s">
        <v>515</v>
      </c>
      <c r="D49" s="5" t="s">
        <v>276</v>
      </c>
      <c r="E49" s="5" t="s">
        <v>277</v>
      </c>
      <c r="F49" s="5" t="s">
        <v>529</v>
      </c>
      <c r="G49" s="9" t="s">
        <v>526</v>
      </c>
      <c r="H49" s="5" t="s">
        <v>92</v>
      </c>
      <c r="I49" s="5" t="s">
        <v>92</v>
      </c>
      <c r="J49" s="5" t="s">
        <v>518</v>
      </c>
      <c r="K49" s="5" t="s">
        <v>55</v>
      </c>
      <c r="L49" s="5" t="s">
        <v>519</v>
      </c>
    </row>
    <row r="50" spans="1:12" ht="66" customHeight="1">
      <c r="A50" s="6" t="s">
        <v>426</v>
      </c>
      <c r="B50" s="6" t="s">
        <v>523</v>
      </c>
      <c r="C50" s="6" t="s">
        <v>515</v>
      </c>
      <c r="D50" s="6" t="s">
        <v>280</v>
      </c>
      <c r="E50" s="6" t="s">
        <v>281</v>
      </c>
      <c r="F50" s="6" t="s">
        <v>530</v>
      </c>
      <c r="G50" s="10" t="s">
        <v>526</v>
      </c>
      <c r="H50" s="6" t="s">
        <v>92</v>
      </c>
      <c r="I50" s="6" t="s">
        <v>92</v>
      </c>
      <c r="J50" s="6" t="s">
        <v>518</v>
      </c>
      <c r="K50" s="6" t="s">
        <v>55</v>
      </c>
      <c r="L50" s="6" t="s">
        <v>519</v>
      </c>
    </row>
    <row r="51" spans="1:12" ht="66" customHeight="1">
      <c r="A51" s="5" t="s">
        <v>426</v>
      </c>
      <c r="B51" s="5" t="s">
        <v>523</v>
      </c>
      <c r="C51" s="5" t="s">
        <v>515</v>
      </c>
      <c r="D51" s="5" t="s">
        <v>284</v>
      </c>
      <c r="E51" s="5" t="s">
        <v>285</v>
      </c>
      <c r="F51" s="5" t="s">
        <v>531</v>
      </c>
      <c r="G51" s="9" t="s">
        <v>526</v>
      </c>
      <c r="H51" s="5" t="s">
        <v>92</v>
      </c>
      <c r="I51" s="5" t="s">
        <v>92</v>
      </c>
      <c r="J51" s="5" t="s">
        <v>518</v>
      </c>
      <c r="K51" s="5" t="s">
        <v>55</v>
      </c>
      <c r="L51" s="5" t="s">
        <v>519</v>
      </c>
    </row>
    <row r="52" spans="1:12" ht="66" customHeight="1">
      <c r="A52" s="6" t="s">
        <v>426</v>
      </c>
      <c r="B52" s="6" t="s">
        <v>523</v>
      </c>
      <c r="C52" s="6" t="s">
        <v>515</v>
      </c>
      <c r="D52" s="6" t="s">
        <v>288</v>
      </c>
      <c r="E52" s="6" t="s">
        <v>289</v>
      </c>
      <c r="F52" s="6" t="s">
        <v>532</v>
      </c>
      <c r="G52" s="10" t="s">
        <v>526</v>
      </c>
      <c r="H52" s="6" t="s">
        <v>92</v>
      </c>
      <c r="I52" s="6" t="s">
        <v>92</v>
      </c>
      <c r="J52" s="6" t="s">
        <v>518</v>
      </c>
      <c r="K52" s="6" t="s">
        <v>55</v>
      </c>
      <c r="L52" s="6" t="s">
        <v>519</v>
      </c>
    </row>
    <row r="53" spans="1:12" ht="66" customHeight="1">
      <c r="A53" s="5" t="s">
        <v>426</v>
      </c>
      <c r="B53" s="5" t="s">
        <v>523</v>
      </c>
      <c r="C53" s="5" t="s">
        <v>515</v>
      </c>
      <c r="D53" s="5" t="s">
        <v>292</v>
      </c>
      <c r="E53" s="5" t="s">
        <v>293</v>
      </c>
      <c r="F53" s="5" t="s">
        <v>533</v>
      </c>
      <c r="G53" s="9" t="s">
        <v>517</v>
      </c>
      <c r="H53" s="5" t="s">
        <v>92</v>
      </c>
      <c r="I53" s="5" t="s">
        <v>92</v>
      </c>
      <c r="J53" s="5" t="s">
        <v>518</v>
      </c>
      <c r="K53" s="5" t="s">
        <v>55</v>
      </c>
      <c r="L53" s="5" t="s">
        <v>519</v>
      </c>
    </row>
    <row r="54" spans="1:12" ht="68.099999999999994" customHeight="1">
      <c r="A54" s="6" t="s">
        <v>426</v>
      </c>
      <c r="B54" s="6" t="s">
        <v>534</v>
      </c>
      <c r="C54" s="6" t="s">
        <v>515</v>
      </c>
      <c r="D54" s="6" t="s">
        <v>309</v>
      </c>
      <c r="E54" s="6" t="s">
        <v>535</v>
      </c>
      <c r="F54" s="6" t="s">
        <v>536</v>
      </c>
      <c r="G54" s="10" t="s">
        <v>517</v>
      </c>
      <c r="H54" s="6" t="s">
        <v>92</v>
      </c>
      <c r="I54" s="6" t="s">
        <v>92</v>
      </c>
      <c r="J54" s="6" t="s">
        <v>518</v>
      </c>
      <c r="K54" s="6" t="s">
        <v>55</v>
      </c>
      <c r="L54" s="6" t="s">
        <v>519</v>
      </c>
    </row>
    <row r="55" spans="1:12" ht="66" customHeight="1">
      <c r="A55" s="5" t="s">
        <v>426</v>
      </c>
      <c r="B55" s="5" t="s">
        <v>534</v>
      </c>
      <c r="C55" s="5" t="s">
        <v>515</v>
      </c>
      <c r="D55" s="5" t="s">
        <v>325</v>
      </c>
      <c r="E55" s="5" t="s">
        <v>326</v>
      </c>
      <c r="F55" s="5" t="s">
        <v>537</v>
      </c>
      <c r="G55" s="9" t="s">
        <v>526</v>
      </c>
      <c r="H55" s="5" t="s">
        <v>92</v>
      </c>
      <c r="I55" s="5" t="s">
        <v>92</v>
      </c>
      <c r="J55" s="5" t="s">
        <v>518</v>
      </c>
      <c r="K55" s="5" t="s">
        <v>55</v>
      </c>
      <c r="L55" s="5" t="s">
        <v>519</v>
      </c>
    </row>
    <row r="56" spans="1:12" ht="66" customHeight="1">
      <c r="A56" s="6" t="s">
        <v>426</v>
      </c>
      <c r="B56" s="6" t="s">
        <v>534</v>
      </c>
      <c r="C56" s="6" t="s">
        <v>515</v>
      </c>
      <c r="D56" s="6" t="s">
        <v>329</v>
      </c>
      <c r="E56" s="6" t="s">
        <v>330</v>
      </c>
      <c r="F56" s="6" t="s">
        <v>538</v>
      </c>
      <c r="G56" s="10" t="s">
        <v>526</v>
      </c>
      <c r="H56" s="6" t="s">
        <v>92</v>
      </c>
      <c r="I56" s="6" t="s">
        <v>92</v>
      </c>
      <c r="J56" s="6" t="s">
        <v>518</v>
      </c>
      <c r="K56" s="6" t="s">
        <v>55</v>
      </c>
      <c r="L56" s="6" t="s">
        <v>519</v>
      </c>
    </row>
    <row r="57" spans="1:12" ht="66" customHeight="1">
      <c r="A57" s="5" t="s">
        <v>426</v>
      </c>
      <c r="B57" s="5" t="s">
        <v>534</v>
      </c>
      <c r="C57" s="5" t="s">
        <v>515</v>
      </c>
      <c r="D57" s="5" t="s">
        <v>333</v>
      </c>
      <c r="E57" s="5" t="s">
        <v>334</v>
      </c>
      <c r="F57" s="5" t="s">
        <v>539</v>
      </c>
      <c r="G57" s="9" t="s">
        <v>526</v>
      </c>
      <c r="H57" s="5" t="s">
        <v>92</v>
      </c>
      <c r="I57" s="5" t="s">
        <v>92</v>
      </c>
      <c r="J57" s="5" t="s">
        <v>518</v>
      </c>
      <c r="K57" s="5" t="s">
        <v>55</v>
      </c>
      <c r="L57" s="5" t="s">
        <v>519</v>
      </c>
    </row>
    <row r="58" spans="1:12" ht="68.099999999999994" customHeight="1">
      <c r="A58" s="6" t="s">
        <v>540</v>
      </c>
      <c r="B58" s="6" t="s">
        <v>411</v>
      </c>
      <c r="C58" s="6" t="s">
        <v>541</v>
      </c>
      <c r="D58" s="6" t="s">
        <v>542</v>
      </c>
      <c r="E58" s="6" t="s">
        <v>543</v>
      </c>
      <c r="F58" s="6" t="s">
        <v>544</v>
      </c>
      <c r="G58" s="10" t="s">
        <v>545</v>
      </c>
      <c r="H58" s="6" t="s">
        <v>92</v>
      </c>
      <c r="I58" s="6" t="s">
        <v>92</v>
      </c>
      <c r="J58" s="6" t="s">
        <v>29</v>
      </c>
      <c r="K58" s="6" t="s">
        <v>30</v>
      </c>
      <c r="L58" s="6" t="s">
        <v>546</v>
      </c>
    </row>
    <row r="59" spans="1:12" ht="68.099999999999994" customHeight="1">
      <c r="A59" s="5" t="s">
        <v>540</v>
      </c>
      <c r="B59" s="5" t="s">
        <v>411</v>
      </c>
      <c r="C59" s="5" t="s">
        <v>541</v>
      </c>
      <c r="D59" s="5" t="s">
        <v>547</v>
      </c>
      <c r="E59" s="5" t="s">
        <v>548</v>
      </c>
      <c r="F59" s="5" t="s">
        <v>544</v>
      </c>
      <c r="G59" s="9" t="s">
        <v>545</v>
      </c>
      <c r="H59" s="5" t="s">
        <v>92</v>
      </c>
      <c r="I59" s="5" t="s">
        <v>92</v>
      </c>
      <c r="J59" s="5" t="s">
        <v>29</v>
      </c>
      <c r="K59" s="5" t="s">
        <v>30</v>
      </c>
      <c r="L59" s="5" t="s">
        <v>546</v>
      </c>
    </row>
    <row r="60" spans="1:12" ht="68.099999999999994" customHeight="1">
      <c r="A60" s="6" t="s">
        <v>540</v>
      </c>
      <c r="B60" s="6" t="s">
        <v>549</v>
      </c>
      <c r="C60" s="6" t="s">
        <v>541</v>
      </c>
      <c r="D60" s="6" t="s">
        <v>550</v>
      </c>
      <c r="E60" s="6" t="s">
        <v>551</v>
      </c>
      <c r="F60" s="6" t="s">
        <v>544</v>
      </c>
      <c r="G60" s="10" t="s">
        <v>545</v>
      </c>
      <c r="H60" s="6" t="s">
        <v>92</v>
      </c>
      <c r="I60" s="6" t="s">
        <v>92</v>
      </c>
      <c r="J60" s="6" t="s">
        <v>29</v>
      </c>
      <c r="K60" s="6" t="s">
        <v>30</v>
      </c>
      <c r="L60" s="6" t="s">
        <v>546</v>
      </c>
    </row>
    <row r="61" spans="1:12" ht="68.099999999999994" customHeight="1">
      <c r="A61" s="5" t="s">
        <v>540</v>
      </c>
      <c r="B61" s="5" t="s">
        <v>549</v>
      </c>
      <c r="C61" s="5" t="s">
        <v>541</v>
      </c>
      <c r="D61" s="5" t="s">
        <v>552</v>
      </c>
      <c r="E61" s="5" t="s">
        <v>553</v>
      </c>
      <c r="F61" s="5" t="s">
        <v>544</v>
      </c>
      <c r="G61" s="9" t="s">
        <v>545</v>
      </c>
      <c r="H61" s="5" t="s">
        <v>92</v>
      </c>
      <c r="I61" s="5" t="s">
        <v>92</v>
      </c>
      <c r="J61" s="5" t="s">
        <v>29</v>
      </c>
      <c r="K61" s="5" t="s">
        <v>30</v>
      </c>
      <c r="L61" s="5" t="s">
        <v>546</v>
      </c>
    </row>
    <row r="62" spans="1:12" ht="66" customHeight="1">
      <c r="A62" s="6" t="s">
        <v>384</v>
      </c>
      <c r="B62" s="6" t="s">
        <v>554</v>
      </c>
      <c r="C62" s="6" t="s">
        <v>555</v>
      </c>
      <c r="D62" s="6" t="s">
        <v>556</v>
      </c>
      <c r="E62" s="6" t="s">
        <v>557</v>
      </c>
      <c r="F62" s="6" t="s">
        <v>558</v>
      </c>
      <c r="G62" s="10" t="s">
        <v>371</v>
      </c>
      <c r="H62" s="6" t="s">
        <v>559</v>
      </c>
      <c r="I62" s="6" t="s">
        <v>371</v>
      </c>
      <c r="J62" s="6" t="s">
        <v>372</v>
      </c>
      <c r="K62" s="6" t="s">
        <v>55</v>
      </c>
      <c r="L62" s="6" t="s">
        <v>560</v>
      </c>
    </row>
    <row r="63" spans="1:12" ht="66" customHeight="1">
      <c r="A63" s="5" t="s">
        <v>384</v>
      </c>
      <c r="B63" s="5" t="s">
        <v>554</v>
      </c>
      <c r="C63" s="5" t="s">
        <v>555</v>
      </c>
      <c r="D63" s="5" t="s">
        <v>561</v>
      </c>
      <c r="E63" s="5" t="s">
        <v>562</v>
      </c>
      <c r="F63" s="5" t="s">
        <v>563</v>
      </c>
      <c r="G63" s="9" t="s">
        <v>371</v>
      </c>
      <c r="H63" s="5" t="s">
        <v>559</v>
      </c>
      <c r="I63" s="5" t="s">
        <v>371</v>
      </c>
      <c r="J63" s="5" t="s">
        <v>372</v>
      </c>
      <c r="K63" s="5" t="s">
        <v>55</v>
      </c>
      <c r="L63" s="5" t="s">
        <v>560</v>
      </c>
    </row>
    <row r="64" spans="1:12" ht="66" customHeight="1">
      <c r="A64" s="6" t="s">
        <v>384</v>
      </c>
      <c r="B64" s="6" t="s">
        <v>554</v>
      </c>
      <c r="C64" s="6" t="s">
        <v>555</v>
      </c>
      <c r="D64" s="6" t="s">
        <v>564</v>
      </c>
      <c r="E64" s="6" t="s">
        <v>565</v>
      </c>
      <c r="F64" s="6" t="s">
        <v>566</v>
      </c>
      <c r="G64" s="10" t="s">
        <v>371</v>
      </c>
      <c r="H64" s="6" t="s">
        <v>559</v>
      </c>
      <c r="I64" s="6" t="s">
        <v>371</v>
      </c>
      <c r="J64" s="6" t="s">
        <v>372</v>
      </c>
      <c r="K64" s="6" t="s">
        <v>55</v>
      </c>
      <c r="L64" s="6" t="s">
        <v>560</v>
      </c>
    </row>
    <row r="65" spans="1:12" ht="66" customHeight="1">
      <c r="A65" s="12" t="s">
        <v>384</v>
      </c>
      <c r="B65" s="12" t="s">
        <v>554</v>
      </c>
      <c r="C65" s="12" t="s">
        <v>555</v>
      </c>
      <c r="D65" s="12" t="s">
        <v>567</v>
      </c>
      <c r="E65" s="12" t="s">
        <v>568</v>
      </c>
      <c r="F65" s="12" t="s">
        <v>569</v>
      </c>
      <c r="G65" s="13" t="s">
        <v>371</v>
      </c>
      <c r="H65" s="12" t="s">
        <v>559</v>
      </c>
      <c r="I65" s="12" t="s">
        <v>371</v>
      </c>
      <c r="J65" s="12" t="s">
        <v>372</v>
      </c>
      <c r="K65" s="12" t="s">
        <v>55</v>
      </c>
      <c r="L65" s="12" t="s">
        <v>560</v>
      </c>
    </row>
  </sheetData>
  <mergeCells count="4">
    <mergeCell ref="A1:L1"/>
    <mergeCell ref="A2:I2"/>
    <mergeCell ref="J2:K2"/>
    <mergeCell ref="A3:L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0"/>
  <sheetViews>
    <sheetView showGridLines="0" tabSelected="1" topLeftCell="A9" workbookViewId="0">
      <selection activeCell="G10" sqref="G10"/>
    </sheetView>
  </sheetViews>
  <sheetFormatPr defaultRowHeight="14.25"/>
  <cols>
    <col min="1" max="2" width="24" customWidth="1"/>
    <col min="3" max="3" width="21" customWidth="1"/>
    <col min="4" max="4" width="23" customWidth="1"/>
    <col min="5" max="5" width="34" customWidth="1"/>
    <col min="6" max="6" width="42" customWidth="1"/>
    <col min="7" max="7" width="30" customWidth="1"/>
    <col min="8" max="9" width="52" customWidth="1"/>
    <col min="10" max="10" width="24" customWidth="1"/>
    <col min="11" max="12" width="42" customWidth="1"/>
    <col min="13" max="13" width="48" customWidth="1"/>
  </cols>
  <sheetData>
    <row r="1" spans="1:13" ht="33.950000000000003" customHeight="1">
      <c r="A1" s="14" t="s">
        <v>570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32.1" customHeight="1">
      <c r="A2" s="15" t="s">
        <v>571</v>
      </c>
      <c r="B2" s="15"/>
      <c r="C2" s="15"/>
      <c r="D2" s="15"/>
      <c r="E2" s="15"/>
      <c r="F2" s="15"/>
      <c r="G2" s="15"/>
      <c r="H2" s="15"/>
      <c r="I2" s="15"/>
      <c r="J2" s="15"/>
      <c r="K2" s="16" t="s">
        <v>2</v>
      </c>
      <c r="L2" s="16"/>
      <c r="M2" s="1">
        <f>COUNTA(D6:D50)</f>
        <v>45</v>
      </c>
    </row>
    <row r="3" spans="1:13" ht="27.95" customHeight="1">
      <c r="A3" s="17" t="s">
        <v>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42" customHeight="1" thickBot="1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16</v>
      </c>
      <c r="L5" s="2" t="s">
        <v>17</v>
      </c>
      <c r="M5" s="2" t="s">
        <v>18</v>
      </c>
    </row>
    <row r="6" spans="1:13" ht="66" customHeight="1">
      <c r="A6" s="4" t="s">
        <v>572</v>
      </c>
      <c r="B6" s="4" t="s">
        <v>573</v>
      </c>
      <c r="C6" s="4" t="s">
        <v>574</v>
      </c>
      <c r="D6" s="4" t="s">
        <v>575</v>
      </c>
      <c r="E6" s="4" t="s">
        <v>576</v>
      </c>
      <c r="F6" s="4" t="s">
        <v>577</v>
      </c>
      <c r="G6" s="4" t="s">
        <v>578</v>
      </c>
      <c r="H6" s="4" t="s">
        <v>579</v>
      </c>
      <c r="I6" s="4" t="s">
        <v>580</v>
      </c>
      <c r="J6" s="8" t="s">
        <v>581</v>
      </c>
      <c r="K6" s="4" t="s">
        <v>582</v>
      </c>
      <c r="L6" s="4" t="s">
        <v>583</v>
      </c>
      <c r="M6" s="4" t="s">
        <v>584</v>
      </c>
    </row>
    <row r="7" spans="1:13" ht="66" customHeight="1">
      <c r="A7" s="5" t="s">
        <v>572</v>
      </c>
      <c r="B7" s="5" t="s">
        <v>585</v>
      </c>
      <c r="C7" s="5" t="s">
        <v>574</v>
      </c>
      <c r="D7" s="5" t="s">
        <v>586</v>
      </c>
      <c r="E7" s="5" t="s">
        <v>587</v>
      </c>
      <c r="F7" s="5" t="s">
        <v>588</v>
      </c>
      <c r="G7" s="5" t="s">
        <v>578</v>
      </c>
      <c r="H7" s="5" t="s">
        <v>589</v>
      </c>
      <c r="I7" s="5" t="s">
        <v>590</v>
      </c>
      <c r="J7" s="9" t="s">
        <v>581</v>
      </c>
      <c r="K7" s="5" t="s">
        <v>582</v>
      </c>
      <c r="L7" s="5" t="s">
        <v>583</v>
      </c>
      <c r="M7" s="5" t="s">
        <v>591</v>
      </c>
    </row>
    <row r="8" spans="1:13" ht="68.099999999999994" customHeight="1">
      <c r="A8" s="6" t="s">
        <v>572</v>
      </c>
      <c r="B8" s="6" t="s">
        <v>585</v>
      </c>
      <c r="C8" s="6" t="s">
        <v>574</v>
      </c>
      <c r="D8" s="6" t="s">
        <v>592</v>
      </c>
      <c r="E8" s="6" t="s">
        <v>593</v>
      </c>
      <c r="F8" s="6" t="s">
        <v>594</v>
      </c>
      <c r="G8" s="6" t="s">
        <v>578</v>
      </c>
      <c r="H8" s="6" t="s">
        <v>595</v>
      </c>
      <c r="I8" s="6" t="s">
        <v>596</v>
      </c>
      <c r="J8" s="10" t="s">
        <v>581</v>
      </c>
      <c r="K8" s="6" t="s">
        <v>582</v>
      </c>
      <c r="L8" s="6" t="s">
        <v>583</v>
      </c>
      <c r="M8" s="6" t="s">
        <v>597</v>
      </c>
    </row>
    <row r="9" spans="1:13" ht="66" customHeight="1">
      <c r="A9" s="5" t="s">
        <v>572</v>
      </c>
      <c r="B9" s="5" t="s">
        <v>573</v>
      </c>
      <c r="C9" s="5" t="s">
        <v>574</v>
      </c>
      <c r="D9" s="5" t="s">
        <v>598</v>
      </c>
      <c r="E9" s="5" t="s">
        <v>599</v>
      </c>
      <c r="F9" s="5" t="s">
        <v>600</v>
      </c>
      <c r="G9" s="5" t="s">
        <v>578</v>
      </c>
      <c r="H9" s="5" t="s">
        <v>601</v>
      </c>
      <c r="I9" s="5" t="s">
        <v>602</v>
      </c>
      <c r="J9" s="9" t="s">
        <v>581</v>
      </c>
      <c r="K9" s="5" t="s">
        <v>582</v>
      </c>
      <c r="L9" s="5" t="s">
        <v>583</v>
      </c>
      <c r="M9" s="5" t="s">
        <v>603</v>
      </c>
    </row>
    <row r="10" spans="1:13" ht="68.099999999999994" customHeight="1">
      <c r="A10" s="6" t="s">
        <v>572</v>
      </c>
      <c r="B10" s="6" t="s">
        <v>585</v>
      </c>
      <c r="C10" s="6" t="s">
        <v>574</v>
      </c>
      <c r="D10" s="6" t="s">
        <v>604</v>
      </c>
      <c r="E10" s="6" t="s">
        <v>605</v>
      </c>
      <c r="F10" s="6" t="s">
        <v>606</v>
      </c>
      <c r="G10" s="6" t="s">
        <v>578</v>
      </c>
      <c r="H10" s="6" t="s">
        <v>607</v>
      </c>
      <c r="I10" s="6" t="s">
        <v>608</v>
      </c>
      <c r="J10" s="10" t="s">
        <v>581</v>
      </c>
      <c r="K10" s="6" t="s">
        <v>582</v>
      </c>
      <c r="L10" s="6" t="s">
        <v>583</v>
      </c>
      <c r="M10" s="6" t="s">
        <v>609</v>
      </c>
    </row>
    <row r="11" spans="1:13" ht="66" customHeight="1">
      <c r="A11" s="5" t="s">
        <v>572</v>
      </c>
      <c r="B11" s="5" t="s">
        <v>585</v>
      </c>
      <c r="C11" s="5" t="s">
        <v>574</v>
      </c>
      <c r="D11" s="5" t="s">
        <v>610</v>
      </c>
      <c r="E11" s="5" t="s">
        <v>611</v>
      </c>
      <c r="F11" s="5" t="s">
        <v>612</v>
      </c>
      <c r="G11" s="5" t="s">
        <v>578</v>
      </c>
      <c r="H11" s="5" t="s">
        <v>613</v>
      </c>
      <c r="I11" s="5" t="s">
        <v>614</v>
      </c>
      <c r="J11" s="9" t="s">
        <v>581</v>
      </c>
      <c r="K11" s="5" t="s">
        <v>582</v>
      </c>
      <c r="L11" s="5" t="s">
        <v>583</v>
      </c>
      <c r="M11" s="5" t="s">
        <v>615</v>
      </c>
    </row>
    <row r="12" spans="1:13" ht="68.099999999999994" customHeight="1">
      <c r="A12" s="6" t="s">
        <v>572</v>
      </c>
      <c r="B12" s="6" t="s">
        <v>573</v>
      </c>
      <c r="C12" s="6" t="s">
        <v>574</v>
      </c>
      <c r="D12" s="6" t="s">
        <v>616</v>
      </c>
      <c r="E12" s="6" t="s">
        <v>617</v>
      </c>
      <c r="F12" s="6" t="s">
        <v>618</v>
      </c>
      <c r="G12" s="6" t="s">
        <v>578</v>
      </c>
      <c r="H12" s="6" t="s">
        <v>619</v>
      </c>
      <c r="I12" s="6" t="s">
        <v>620</v>
      </c>
      <c r="J12" s="10" t="s">
        <v>581</v>
      </c>
      <c r="K12" s="6" t="s">
        <v>582</v>
      </c>
      <c r="L12" s="6" t="s">
        <v>583</v>
      </c>
      <c r="M12" s="6" t="s">
        <v>621</v>
      </c>
    </row>
    <row r="13" spans="1:13" ht="66" customHeight="1">
      <c r="A13" s="5" t="s">
        <v>572</v>
      </c>
      <c r="B13" s="5" t="s">
        <v>622</v>
      </c>
      <c r="C13" s="5" t="s">
        <v>574</v>
      </c>
      <c r="D13" s="5" t="s">
        <v>623</v>
      </c>
      <c r="E13" s="5" t="s">
        <v>624</v>
      </c>
      <c r="F13" s="5" t="s">
        <v>625</v>
      </c>
      <c r="G13" s="5" t="s">
        <v>578</v>
      </c>
      <c r="H13" s="5" t="s">
        <v>626</v>
      </c>
      <c r="I13" s="5" t="s">
        <v>627</v>
      </c>
      <c r="J13" s="9" t="s">
        <v>581</v>
      </c>
      <c r="K13" s="5" t="s">
        <v>582</v>
      </c>
      <c r="L13" s="5" t="s">
        <v>583</v>
      </c>
      <c r="M13" s="5" t="s">
        <v>603</v>
      </c>
    </row>
    <row r="14" spans="1:13" ht="66" customHeight="1">
      <c r="A14" s="6" t="s">
        <v>572</v>
      </c>
      <c r="B14" s="6" t="s">
        <v>622</v>
      </c>
      <c r="C14" s="6" t="s">
        <v>574</v>
      </c>
      <c r="D14" s="6" t="s">
        <v>628</v>
      </c>
      <c r="E14" s="6" t="s">
        <v>629</v>
      </c>
      <c r="F14" s="6" t="s">
        <v>630</v>
      </c>
      <c r="G14" s="6" t="s">
        <v>578</v>
      </c>
      <c r="H14" s="6" t="s">
        <v>631</v>
      </c>
      <c r="I14" s="6" t="s">
        <v>632</v>
      </c>
      <c r="J14" s="10" t="s">
        <v>581</v>
      </c>
      <c r="K14" s="6" t="s">
        <v>582</v>
      </c>
      <c r="L14" s="6" t="s">
        <v>583</v>
      </c>
      <c r="M14" s="6" t="s">
        <v>603</v>
      </c>
    </row>
    <row r="15" spans="1:13" ht="66" customHeight="1">
      <c r="A15" s="5" t="s">
        <v>572</v>
      </c>
      <c r="B15" s="5" t="s">
        <v>622</v>
      </c>
      <c r="C15" s="5" t="s">
        <v>574</v>
      </c>
      <c r="D15" s="5" t="s">
        <v>633</v>
      </c>
      <c r="E15" s="5" t="s">
        <v>634</v>
      </c>
      <c r="F15" s="5" t="s">
        <v>635</v>
      </c>
      <c r="G15" s="5" t="s">
        <v>578</v>
      </c>
      <c r="H15" s="5" t="s">
        <v>636</v>
      </c>
      <c r="I15" s="5" t="s">
        <v>637</v>
      </c>
      <c r="J15" s="9" t="s">
        <v>581</v>
      </c>
      <c r="K15" s="5" t="s">
        <v>582</v>
      </c>
      <c r="L15" s="5" t="s">
        <v>583</v>
      </c>
      <c r="M15" s="5" t="s">
        <v>603</v>
      </c>
    </row>
    <row r="16" spans="1:13" ht="66" customHeight="1">
      <c r="A16" s="6" t="s">
        <v>572</v>
      </c>
      <c r="B16" s="6" t="s">
        <v>638</v>
      </c>
      <c r="C16" s="6" t="s">
        <v>574</v>
      </c>
      <c r="D16" s="6" t="s">
        <v>639</v>
      </c>
      <c r="E16" s="6" t="s">
        <v>640</v>
      </c>
      <c r="F16" s="6" t="s">
        <v>641</v>
      </c>
      <c r="G16" s="6" t="s">
        <v>578</v>
      </c>
      <c r="H16" s="6" t="s">
        <v>642</v>
      </c>
      <c r="I16" s="6" t="s">
        <v>643</v>
      </c>
      <c r="J16" s="10" t="s">
        <v>581</v>
      </c>
      <c r="K16" s="6" t="s">
        <v>582</v>
      </c>
      <c r="L16" s="6" t="s">
        <v>583</v>
      </c>
      <c r="M16" s="6" t="s">
        <v>644</v>
      </c>
    </row>
    <row r="17" spans="1:13" ht="68.099999999999994" customHeight="1">
      <c r="A17" s="5" t="s">
        <v>572</v>
      </c>
      <c r="B17" s="5" t="s">
        <v>645</v>
      </c>
      <c r="C17" s="5" t="s">
        <v>574</v>
      </c>
      <c r="D17" s="5" t="s">
        <v>646</v>
      </c>
      <c r="E17" s="5" t="s">
        <v>647</v>
      </c>
      <c r="F17" s="5" t="s">
        <v>648</v>
      </c>
      <c r="G17" s="5" t="s">
        <v>578</v>
      </c>
      <c r="H17" s="5" t="s">
        <v>649</v>
      </c>
      <c r="I17" s="5" t="s">
        <v>650</v>
      </c>
      <c r="J17" s="9" t="s">
        <v>581</v>
      </c>
      <c r="K17" s="5" t="s">
        <v>582</v>
      </c>
      <c r="L17" s="5" t="s">
        <v>583</v>
      </c>
      <c r="M17" s="5" t="s">
        <v>651</v>
      </c>
    </row>
    <row r="18" spans="1:13" ht="80.099999999999994" customHeight="1">
      <c r="A18" s="6" t="s">
        <v>572</v>
      </c>
      <c r="B18" s="6" t="s">
        <v>652</v>
      </c>
      <c r="C18" s="6" t="s">
        <v>574</v>
      </c>
      <c r="D18" s="6" t="s">
        <v>653</v>
      </c>
      <c r="E18" s="6" t="s">
        <v>654</v>
      </c>
      <c r="F18" s="6" t="s">
        <v>655</v>
      </c>
      <c r="G18" s="6" t="s">
        <v>578</v>
      </c>
      <c r="H18" s="6" t="s">
        <v>656</v>
      </c>
      <c r="I18" s="6" t="s">
        <v>657</v>
      </c>
      <c r="J18" s="10" t="s">
        <v>581</v>
      </c>
      <c r="K18" s="6" t="s">
        <v>582</v>
      </c>
      <c r="L18" s="6" t="s">
        <v>583</v>
      </c>
      <c r="M18" s="6" t="s">
        <v>658</v>
      </c>
    </row>
    <row r="19" spans="1:13" ht="80.099999999999994" customHeight="1">
      <c r="A19" s="5" t="s">
        <v>572</v>
      </c>
      <c r="B19" s="5" t="s">
        <v>652</v>
      </c>
      <c r="C19" s="5" t="s">
        <v>574</v>
      </c>
      <c r="D19" s="5" t="s">
        <v>659</v>
      </c>
      <c r="E19" s="5" t="s">
        <v>660</v>
      </c>
      <c r="F19" s="5" t="s">
        <v>661</v>
      </c>
      <c r="G19" s="5" t="s">
        <v>578</v>
      </c>
      <c r="H19" s="5" t="s">
        <v>662</v>
      </c>
      <c r="I19" s="5" t="s">
        <v>663</v>
      </c>
      <c r="J19" s="9" t="s">
        <v>581</v>
      </c>
      <c r="K19" s="5" t="s">
        <v>582</v>
      </c>
      <c r="L19" s="5" t="s">
        <v>583</v>
      </c>
      <c r="M19" s="5" t="s">
        <v>664</v>
      </c>
    </row>
    <row r="20" spans="1:13" ht="68.099999999999994" customHeight="1">
      <c r="A20" s="6" t="s">
        <v>585</v>
      </c>
      <c r="B20" s="6" t="s">
        <v>665</v>
      </c>
      <c r="C20" s="6" t="s">
        <v>666</v>
      </c>
      <c r="D20" s="6" t="s">
        <v>667</v>
      </c>
      <c r="E20" s="6" t="s">
        <v>668</v>
      </c>
      <c r="F20" s="6" t="s">
        <v>669</v>
      </c>
      <c r="G20" s="6" t="s">
        <v>578</v>
      </c>
      <c r="H20" s="6" t="s">
        <v>670</v>
      </c>
      <c r="I20" s="6" t="s">
        <v>671</v>
      </c>
      <c r="J20" s="10" t="s">
        <v>672</v>
      </c>
      <c r="K20" s="6" t="s">
        <v>673</v>
      </c>
      <c r="L20" s="6" t="s">
        <v>674</v>
      </c>
      <c r="M20" s="6" t="s">
        <v>675</v>
      </c>
    </row>
    <row r="21" spans="1:13" ht="68.099999999999994" customHeight="1">
      <c r="A21" s="5" t="s">
        <v>585</v>
      </c>
      <c r="B21" s="5" t="s">
        <v>665</v>
      </c>
      <c r="C21" s="5" t="s">
        <v>666</v>
      </c>
      <c r="D21" s="5" t="s">
        <v>676</v>
      </c>
      <c r="E21" s="5" t="s">
        <v>677</v>
      </c>
      <c r="F21" s="5" t="s">
        <v>678</v>
      </c>
      <c r="G21" s="5" t="s">
        <v>578</v>
      </c>
      <c r="H21" s="5" t="s">
        <v>679</v>
      </c>
      <c r="I21" s="5" t="s">
        <v>680</v>
      </c>
      <c r="J21" s="9" t="s">
        <v>672</v>
      </c>
      <c r="K21" s="5" t="s">
        <v>673</v>
      </c>
      <c r="L21" s="5" t="s">
        <v>674</v>
      </c>
      <c r="M21" s="5" t="s">
        <v>675</v>
      </c>
    </row>
    <row r="22" spans="1:13" ht="68.099999999999994" customHeight="1">
      <c r="A22" s="6" t="s">
        <v>585</v>
      </c>
      <c r="B22" s="6" t="s">
        <v>665</v>
      </c>
      <c r="C22" s="6" t="s">
        <v>666</v>
      </c>
      <c r="D22" s="6" t="s">
        <v>681</v>
      </c>
      <c r="E22" s="6" t="s">
        <v>682</v>
      </c>
      <c r="F22" s="6" t="s">
        <v>683</v>
      </c>
      <c r="G22" s="6" t="s">
        <v>578</v>
      </c>
      <c r="H22" s="6" t="s">
        <v>684</v>
      </c>
      <c r="I22" s="6" t="s">
        <v>685</v>
      </c>
      <c r="J22" s="10" t="s">
        <v>672</v>
      </c>
      <c r="K22" s="6" t="s">
        <v>673</v>
      </c>
      <c r="L22" s="6" t="s">
        <v>674</v>
      </c>
      <c r="M22" s="6" t="s">
        <v>675</v>
      </c>
    </row>
    <row r="23" spans="1:13" ht="68.099999999999994" customHeight="1">
      <c r="A23" s="5" t="s">
        <v>585</v>
      </c>
      <c r="B23" s="5" t="s">
        <v>665</v>
      </c>
      <c r="C23" s="5" t="s">
        <v>666</v>
      </c>
      <c r="D23" s="5" t="s">
        <v>686</v>
      </c>
      <c r="E23" s="5" t="s">
        <v>687</v>
      </c>
      <c r="F23" s="5" t="s">
        <v>688</v>
      </c>
      <c r="G23" s="5" t="s">
        <v>578</v>
      </c>
      <c r="H23" s="5" t="s">
        <v>689</v>
      </c>
      <c r="I23" s="5" t="s">
        <v>690</v>
      </c>
      <c r="J23" s="9" t="s">
        <v>672</v>
      </c>
      <c r="K23" s="5" t="s">
        <v>673</v>
      </c>
      <c r="L23" s="5" t="s">
        <v>674</v>
      </c>
      <c r="M23" s="5" t="s">
        <v>675</v>
      </c>
    </row>
    <row r="24" spans="1:13" ht="68.099999999999994" customHeight="1">
      <c r="A24" s="6" t="s">
        <v>585</v>
      </c>
      <c r="B24" s="6" t="s">
        <v>665</v>
      </c>
      <c r="C24" s="6" t="s">
        <v>666</v>
      </c>
      <c r="D24" s="6" t="s">
        <v>691</v>
      </c>
      <c r="E24" s="6" t="s">
        <v>692</v>
      </c>
      <c r="F24" s="6" t="s">
        <v>693</v>
      </c>
      <c r="G24" s="6" t="s">
        <v>578</v>
      </c>
      <c r="H24" s="6" t="s">
        <v>694</v>
      </c>
      <c r="I24" s="6" t="s">
        <v>695</v>
      </c>
      <c r="J24" s="10" t="s">
        <v>696</v>
      </c>
      <c r="K24" s="6" t="s">
        <v>673</v>
      </c>
      <c r="L24" s="6" t="s">
        <v>674</v>
      </c>
      <c r="M24" s="6" t="s">
        <v>675</v>
      </c>
    </row>
    <row r="25" spans="1:13" ht="68.099999999999994" customHeight="1">
      <c r="A25" s="5" t="s">
        <v>585</v>
      </c>
      <c r="B25" s="5" t="s">
        <v>665</v>
      </c>
      <c r="C25" s="5" t="s">
        <v>666</v>
      </c>
      <c r="D25" s="5" t="s">
        <v>697</v>
      </c>
      <c r="E25" s="5" t="s">
        <v>698</v>
      </c>
      <c r="F25" s="5" t="s">
        <v>699</v>
      </c>
      <c r="G25" s="5" t="s">
        <v>578</v>
      </c>
      <c r="H25" s="5" t="s">
        <v>694</v>
      </c>
      <c r="I25" s="5" t="s">
        <v>700</v>
      </c>
      <c r="J25" s="9" t="s">
        <v>696</v>
      </c>
      <c r="K25" s="5" t="s">
        <v>673</v>
      </c>
      <c r="L25" s="5" t="s">
        <v>674</v>
      </c>
      <c r="M25" s="5" t="s">
        <v>675</v>
      </c>
    </row>
    <row r="26" spans="1:13" ht="68.099999999999994" customHeight="1">
      <c r="A26" s="6" t="s">
        <v>585</v>
      </c>
      <c r="B26" s="6" t="s">
        <v>665</v>
      </c>
      <c r="C26" s="6" t="s">
        <v>666</v>
      </c>
      <c r="D26" s="6" t="s">
        <v>701</v>
      </c>
      <c r="E26" s="6" t="s">
        <v>702</v>
      </c>
      <c r="F26" s="6" t="s">
        <v>703</v>
      </c>
      <c r="G26" s="6" t="s">
        <v>578</v>
      </c>
      <c r="H26" s="6" t="s">
        <v>704</v>
      </c>
      <c r="I26" s="6" t="s">
        <v>705</v>
      </c>
      <c r="J26" s="10" t="s">
        <v>672</v>
      </c>
      <c r="K26" s="6" t="s">
        <v>673</v>
      </c>
      <c r="L26" s="6" t="s">
        <v>674</v>
      </c>
      <c r="M26" s="6" t="s">
        <v>675</v>
      </c>
    </row>
    <row r="27" spans="1:13" ht="68.099999999999994" customHeight="1">
      <c r="A27" s="5" t="s">
        <v>585</v>
      </c>
      <c r="B27" s="5" t="s">
        <v>665</v>
      </c>
      <c r="C27" s="5" t="s">
        <v>666</v>
      </c>
      <c r="D27" s="5" t="s">
        <v>706</v>
      </c>
      <c r="E27" s="5" t="s">
        <v>707</v>
      </c>
      <c r="F27" s="5" t="s">
        <v>708</v>
      </c>
      <c r="G27" s="5" t="s">
        <v>578</v>
      </c>
      <c r="H27" s="5" t="s">
        <v>709</v>
      </c>
      <c r="I27" s="5" t="s">
        <v>710</v>
      </c>
      <c r="J27" s="9" t="s">
        <v>672</v>
      </c>
      <c r="K27" s="5" t="s">
        <v>673</v>
      </c>
      <c r="L27" s="5" t="s">
        <v>674</v>
      </c>
      <c r="M27" s="5" t="s">
        <v>675</v>
      </c>
    </row>
    <row r="28" spans="1:13" ht="68.099999999999994" customHeight="1">
      <c r="A28" s="6" t="s">
        <v>585</v>
      </c>
      <c r="B28" s="6" t="s">
        <v>665</v>
      </c>
      <c r="C28" s="6" t="s">
        <v>666</v>
      </c>
      <c r="D28" s="6" t="s">
        <v>711</v>
      </c>
      <c r="E28" s="6" t="s">
        <v>712</v>
      </c>
      <c r="F28" s="6" t="s">
        <v>713</v>
      </c>
      <c r="G28" s="6" t="s">
        <v>578</v>
      </c>
      <c r="H28" s="6" t="s">
        <v>714</v>
      </c>
      <c r="I28" s="6" t="s">
        <v>715</v>
      </c>
      <c r="J28" s="10" t="s">
        <v>672</v>
      </c>
      <c r="K28" s="6" t="s">
        <v>673</v>
      </c>
      <c r="L28" s="6" t="s">
        <v>674</v>
      </c>
      <c r="M28" s="6" t="s">
        <v>675</v>
      </c>
    </row>
    <row r="29" spans="1:13" ht="68.099999999999994" customHeight="1">
      <c r="A29" s="5" t="s">
        <v>585</v>
      </c>
      <c r="B29" s="5" t="s">
        <v>665</v>
      </c>
      <c r="C29" s="5" t="s">
        <v>666</v>
      </c>
      <c r="D29" s="5" t="s">
        <v>716</v>
      </c>
      <c r="E29" s="5" t="s">
        <v>717</v>
      </c>
      <c r="F29" s="5" t="s">
        <v>718</v>
      </c>
      <c r="G29" s="5" t="s">
        <v>578</v>
      </c>
      <c r="H29" s="5" t="s">
        <v>719</v>
      </c>
      <c r="I29" s="5" t="s">
        <v>720</v>
      </c>
      <c r="J29" s="9" t="s">
        <v>672</v>
      </c>
      <c r="K29" s="5" t="s">
        <v>673</v>
      </c>
      <c r="L29" s="5" t="s">
        <v>674</v>
      </c>
      <c r="M29" s="5" t="s">
        <v>675</v>
      </c>
    </row>
    <row r="30" spans="1:13" ht="68.099999999999994" customHeight="1">
      <c r="A30" s="6" t="s">
        <v>585</v>
      </c>
      <c r="B30" s="6" t="s">
        <v>665</v>
      </c>
      <c r="C30" s="6" t="s">
        <v>666</v>
      </c>
      <c r="D30" s="6" t="s">
        <v>721</v>
      </c>
      <c r="E30" s="6" t="s">
        <v>722</v>
      </c>
      <c r="F30" s="6" t="s">
        <v>723</v>
      </c>
      <c r="G30" s="6" t="s">
        <v>578</v>
      </c>
      <c r="H30" s="6" t="s">
        <v>724</v>
      </c>
      <c r="I30" s="6" t="s">
        <v>725</v>
      </c>
      <c r="J30" s="10" t="s">
        <v>672</v>
      </c>
      <c r="K30" s="6" t="s">
        <v>673</v>
      </c>
      <c r="L30" s="6" t="s">
        <v>674</v>
      </c>
      <c r="M30" s="6" t="s">
        <v>675</v>
      </c>
    </row>
    <row r="31" spans="1:13" ht="68.099999999999994" customHeight="1">
      <c r="A31" s="5" t="s">
        <v>585</v>
      </c>
      <c r="B31" s="5" t="s">
        <v>665</v>
      </c>
      <c r="C31" s="5" t="s">
        <v>666</v>
      </c>
      <c r="D31" s="5" t="s">
        <v>726</v>
      </c>
      <c r="E31" s="5" t="s">
        <v>727</v>
      </c>
      <c r="F31" s="5" t="s">
        <v>728</v>
      </c>
      <c r="G31" s="5" t="s">
        <v>578</v>
      </c>
      <c r="H31" s="5" t="s">
        <v>729</v>
      </c>
      <c r="I31" s="5" t="s">
        <v>730</v>
      </c>
      <c r="J31" s="9" t="s">
        <v>672</v>
      </c>
      <c r="K31" s="5" t="s">
        <v>673</v>
      </c>
      <c r="L31" s="5" t="s">
        <v>674</v>
      </c>
      <c r="M31" s="5" t="s">
        <v>675</v>
      </c>
    </row>
    <row r="32" spans="1:13" ht="68.099999999999994" customHeight="1">
      <c r="A32" s="6" t="s">
        <v>585</v>
      </c>
      <c r="B32" s="6" t="s">
        <v>665</v>
      </c>
      <c r="C32" s="6" t="s">
        <v>666</v>
      </c>
      <c r="D32" s="6" t="s">
        <v>731</v>
      </c>
      <c r="E32" s="6" t="s">
        <v>732</v>
      </c>
      <c r="F32" s="6" t="s">
        <v>733</v>
      </c>
      <c r="G32" s="6" t="s">
        <v>578</v>
      </c>
      <c r="H32" s="6" t="s">
        <v>734</v>
      </c>
      <c r="I32" s="6" t="s">
        <v>735</v>
      </c>
      <c r="J32" s="10" t="s">
        <v>672</v>
      </c>
      <c r="K32" s="6" t="s">
        <v>673</v>
      </c>
      <c r="L32" s="6" t="s">
        <v>674</v>
      </c>
      <c r="M32" s="6" t="s">
        <v>675</v>
      </c>
    </row>
    <row r="33" spans="1:13" ht="66" customHeight="1">
      <c r="A33" s="5" t="s">
        <v>736</v>
      </c>
      <c r="B33" s="5" t="s">
        <v>737</v>
      </c>
      <c r="C33" s="5" t="s">
        <v>738</v>
      </c>
      <c r="D33" s="5" t="s">
        <v>739</v>
      </c>
      <c r="E33" s="5" t="s">
        <v>740</v>
      </c>
      <c r="F33" s="5" t="s">
        <v>741</v>
      </c>
      <c r="G33" s="5" t="s">
        <v>742</v>
      </c>
      <c r="H33" s="5" t="s">
        <v>743</v>
      </c>
      <c r="I33" s="5" t="s">
        <v>744</v>
      </c>
      <c r="J33" s="9" t="s">
        <v>745</v>
      </c>
      <c r="K33" s="5" t="s">
        <v>746</v>
      </c>
      <c r="L33" s="5" t="s">
        <v>747</v>
      </c>
      <c r="M33" s="5" t="s">
        <v>748</v>
      </c>
    </row>
    <row r="34" spans="1:13" ht="66" customHeight="1">
      <c r="A34" s="6" t="s">
        <v>736</v>
      </c>
      <c r="B34" s="6" t="s">
        <v>737</v>
      </c>
      <c r="C34" s="6" t="s">
        <v>738</v>
      </c>
      <c r="D34" s="6" t="s">
        <v>749</v>
      </c>
      <c r="E34" s="6" t="s">
        <v>750</v>
      </c>
      <c r="F34" s="6" t="s">
        <v>751</v>
      </c>
      <c r="G34" s="6" t="s">
        <v>742</v>
      </c>
      <c r="H34" s="6" t="s">
        <v>752</v>
      </c>
      <c r="I34" s="6" t="s">
        <v>753</v>
      </c>
      <c r="J34" s="10" t="s">
        <v>745</v>
      </c>
      <c r="K34" s="6" t="s">
        <v>746</v>
      </c>
      <c r="L34" s="6" t="s">
        <v>747</v>
      </c>
      <c r="M34" s="6" t="s">
        <v>748</v>
      </c>
    </row>
    <row r="35" spans="1:13" ht="66" customHeight="1">
      <c r="A35" s="5" t="s">
        <v>736</v>
      </c>
      <c r="B35" s="5" t="s">
        <v>737</v>
      </c>
      <c r="C35" s="5" t="s">
        <v>738</v>
      </c>
      <c r="D35" s="5" t="s">
        <v>754</v>
      </c>
      <c r="E35" s="5" t="s">
        <v>755</v>
      </c>
      <c r="F35" s="5" t="s">
        <v>756</v>
      </c>
      <c r="G35" s="5" t="s">
        <v>742</v>
      </c>
      <c r="H35" s="5" t="s">
        <v>757</v>
      </c>
      <c r="I35" s="5" t="s">
        <v>758</v>
      </c>
      <c r="J35" s="9" t="s">
        <v>745</v>
      </c>
      <c r="K35" s="5" t="s">
        <v>746</v>
      </c>
      <c r="L35" s="5" t="s">
        <v>747</v>
      </c>
      <c r="M35" s="5" t="s">
        <v>748</v>
      </c>
    </row>
    <row r="36" spans="1:13" ht="66" customHeight="1">
      <c r="A36" s="6" t="s">
        <v>736</v>
      </c>
      <c r="B36" s="6" t="s">
        <v>737</v>
      </c>
      <c r="C36" s="6" t="s">
        <v>738</v>
      </c>
      <c r="D36" s="6" t="s">
        <v>759</v>
      </c>
      <c r="E36" s="6" t="s">
        <v>760</v>
      </c>
      <c r="F36" s="6" t="s">
        <v>761</v>
      </c>
      <c r="G36" s="6" t="s">
        <v>742</v>
      </c>
      <c r="H36" s="6" t="s">
        <v>762</v>
      </c>
      <c r="I36" s="6" t="s">
        <v>763</v>
      </c>
      <c r="J36" s="10" t="s">
        <v>745</v>
      </c>
      <c r="K36" s="6" t="s">
        <v>746</v>
      </c>
      <c r="L36" s="6" t="s">
        <v>747</v>
      </c>
      <c r="M36" s="6" t="s">
        <v>748</v>
      </c>
    </row>
    <row r="37" spans="1:13" ht="66" customHeight="1">
      <c r="A37" s="5" t="s">
        <v>736</v>
      </c>
      <c r="B37" s="5" t="s">
        <v>737</v>
      </c>
      <c r="C37" s="5" t="s">
        <v>738</v>
      </c>
      <c r="D37" s="5" t="s">
        <v>764</v>
      </c>
      <c r="E37" s="5" t="s">
        <v>765</v>
      </c>
      <c r="F37" s="5" t="s">
        <v>766</v>
      </c>
      <c r="G37" s="5" t="s">
        <v>742</v>
      </c>
      <c r="H37" s="5" t="s">
        <v>767</v>
      </c>
      <c r="I37" s="5" t="s">
        <v>768</v>
      </c>
      <c r="J37" s="9" t="s">
        <v>745</v>
      </c>
      <c r="K37" s="5" t="s">
        <v>746</v>
      </c>
      <c r="L37" s="5" t="s">
        <v>747</v>
      </c>
      <c r="M37" s="5" t="s">
        <v>748</v>
      </c>
    </row>
    <row r="38" spans="1:13" ht="66" customHeight="1">
      <c r="A38" s="6" t="s">
        <v>736</v>
      </c>
      <c r="B38" s="6" t="s">
        <v>737</v>
      </c>
      <c r="C38" s="6" t="s">
        <v>738</v>
      </c>
      <c r="D38" s="6" t="s">
        <v>769</v>
      </c>
      <c r="E38" s="6" t="s">
        <v>770</v>
      </c>
      <c r="F38" s="6" t="s">
        <v>771</v>
      </c>
      <c r="G38" s="6" t="s">
        <v>742</v>
      </c>
      <c r="H38" s="6" t="s">
        <v>772</v>
      </c>
      <c r="I38" s="6" t="s">
        <v>773</v>
      </c>
      <c r="J38" s="10" t="s">
        <v>745</v>
      </c>
      <c r="K38" s="6" t="s">
        <v>746</v>
      </c>
      <c r="L38" s="6" t="s">
        <v>747</v>
      </c>
      <c r="M38" s="6" t="s">
        <v>748</v>
      </c>
    </row>
    <row r="39" spans="1:13" ht="66" customHeight="1">
      <c r="A39" s="5" t="s">
        <v>736</v>
      </c>
      <c r="B39" s="5" t="s">
        <v>737</v>
      </c>
      <c r="C39" s="5" t="s">
        <v>738</v>
      </c>
      <c r="D39" s="5" t="s">
        <v>774</v>
      </c>
      <c r="E39" s="5" t="s">
        <v>775</v>
      </c>
      <c r="F39" s="5" t="s">
        <v>776</v>
      </c>
      <c r="G39" s="5" t="s">
        <v>742</v>
      </c>
      <c r="H39" s="5" t="s">
        <v>777</v>
      </c>
      <c r="I39" s="5" t="s">
        <v>778</v>
      </c>
      <c r="J39" s="9" t="s">
        <v>745</v>
      </c>
      <c r="K39" s="5" t="s">
        <v>746</v>
      </c>
      <c r="L39" s="5" t="s">
        <v>747</v>
      </c>
      <c r="M39" s="5" t="s">
        <v>748</v>
      </c>
    </row>
    <row r="40" spans="1:13" ht="66" customHeight="1">
      <c r="A40" s="6" t="s">
        <v>736</v>
      </c>
      <c r="B40" s="6" t="s">
        <v>737</v>
      </c>
      <c r="C40" s="6" t="s">
        <v>738</v>
      </c>
      <c r="D40" s="6" t="s">
        <v>779</v>
      </c>
      <c r="E40" s="6" t="s">
        <v>780</v>
      </c>
      <c r="F40" s="6" t="s">
        <v>781</v>
      </c>
      <c r="G40" s="6" t="s">
        <v>742</v>
      </c>
      <c r="H40" s="6" t="s">
        <v>782</v>
      </c>
      <c r="I40" s="6" t="s">
        <v>783</v>
      </c>
      <c r="J40" s="10" t="s">
        <v>745</v>
      </c>
      <c r="K40" s="6" t="s">
        <v>746</v>
      </c>
      <c r="L40" s="6" t="s">
        <v>747</v>
      </c>
      <c r="M40" s="6" t="s">
        <v>748</v>
      </c>
    </row>
    <row r="41" spans="1:13" ht="66" customHeight="1">
      <c r="A41" s="5" t="s">
        <v>736</v>
      </c>
      <c r="B41" s="5" t="s">
        <v>737</v>
      </c>
      <c r="C41" s="5" t="s">
        <v>738</v>
      </c>
      <c r="D41" s="5" t="s">
        <v>784</v>
      </c>
      <c r="E41" s="5" t="s">
        <v>785</v>
      </c>
      <c r="F41" s="5" t="s">
        <v>786</v>
      </c>
      <c r="G41" s="5" t="s">
        <v>742</v>
      </c>
      <c r="H41" s="5" t="s">
        <v>787</v>
      </c>
      <c r="I41" s="5" t="s">
        <v>788</v>
      </c>
      <c r="J41" s="9" t="s">
        <v>789</v>
      </c>
      <c r="K41" s="5" t="s">
        <v>746</v>
      </c>
      <c r="L41" s="5" t="s">
        <v>747</v>
      </c>
      <c r="M41" s="5" t="s">
        <v>748</v>
      </c>
    </row>
    <row r="42" spans="1:13" ht="66" customHeight="1">
      <c r="A42" s="6" t="s">
        <v>736</v>
      </c>
      <c r="B42" s="6" t="s">
        <v>737</v>
      </c>
      <c r="C42" s="6" t="s">
        <v>738</v>
      </c>
      <c r="D42" s="6" t="s">
        <v>790</v>
      </c>
      <c r="E42" s="6" t="s">
        <v>791</v>
      </c>
      <c r="F42" s="6" t="s">
        <v>792</v>
      </c>
      <c r="G42" s="6" t="s">
        <v>742</v>
      </c>
      <c r="H42" s="6" t="s">
        <v>787</v>
      </c>
      <c r="I42" s="6" t="s">
        <v>793</v>
      </c>
      <c r="J42" s="10" t="s">
        <v>789</v>
      </c>
      <c r="K42" s="6" t="s">
        <v>746</v>
      </c>
      <c r="L42" s="6" t="s">
        <v>747</v>
      </c>
      <c r="M42" s="6" t="s">
        <v>748</v>
      </c>
    </row>
    <row r="43" spans="1:13" ht="68.099999999999994" customHeight="1">
      <c r="A43" s="5" t="s">
        <v>794</v>
      </c>
      <c r="B43" s="5" t="s">
        <v>795</v>
      </c>
      <c r="C43" s="5" t="s">
        <v>796</v>
      </c>
      <c r="D43" s="5" t="s">
        <v>797</v>
      </c>
      <c r="E43" s="5" t="s">
        <v>798</v>
      </c>
      <c r="F43" s="5" t="s">
        <v>799</v>
      </c>
      <c r="G43" s="5" t="s">
        <v>800</v>
      </c>
      <c r="H43" s="5" t="s">
        <v>801</v>
      </c>
      <c r="I43" s="5" t="s">
        <v>802</v>
      </c>
      <c r="J43" s="9" t="s">
        <v>803</v>
      </c>
      <c r="K43" s="5" t="s">
        <v>804</v>
      </c>
      <c r="L43" s="5" t="s">
        <v>674</v>
      </c>
      <c r="M43" s="5" t="s">
        <v>805</v>
      </c>
    </row>
    <row r="44" spans="1:13" ht="68.099999999999994" customHeight="1">
      <c r="A44" s="6" t="s">
        <v>794</v>
      </c>
      <c r="B44" s="6" t="s">
        <v>806</v>
      </c>
      <c r="C44" s="6" t="s">
        <v>796</v>
      </c>
      <c r="D44" s="6" t="s">
        <v>807</v>
      </c>
      <c r="E44" s="6" t="s">
        <v>808</v>
      </c>
      <c r="F44" s="6" t="s">
        <v>809</v>
      </c>
      <c r="G44" s="6" t="s">
        <v>800</v>
      </c>
      <c r="H44" s="6" t="s">
        <v>810</v>
      </c>
      <c r="I44" s="6" t="s">
        <v>811</v>
      </c>
      <c r="J44" s="10" t="s">
        <v>803</v>
      </c>
      <c r="K44" s="6" t="s">
        <v>804</v>
      </c>
      <c r="L44" s="6" t="s">
        <v>674</v>
      </c>
      <c r="M44" s="6" t="s">
        <v>805</v>
      </c>
    </row>
    <row r="45" spans="1:13" ht="68.099999999999994" customHeight="1">
      <c r="A45" s="5" t="s">
        <v>794</v>
      </c>
      <c r="B45" s="5" t="s">
        <v>812</v>
      </c>
      <c r="C45" s="5" t="s">
        <v>796</v>
      </c>
      <c r="D45" s="5" t="s">
        <v>813</v>
      </c>
      <c r="E45" s="5" t="s">
        <v>814</v>
      </c>
      <c r="F45" s="5" t="s">
        <v>815</v>
      </c>
      <c r="G45" s="5" t="s">
        <v>800</v>
      </c>
      <c r="H45" s="5" t="s">
        <v>810</v>
      </c>
      <c r="I45" s="5" t="s">
        <v>816</v>
      </c>
      <c r="J45" s="9" t="s">
        <v>803</v>
      </c>
      <c r="K45" s="5" t="s">
        <v>804</v>
      </c>
      <c r="L45" s="5" t="s">
        <v>674</v>
      </c>
      <c r="M45" s="5" t="s">
        <v>805</v>
      </c>
    </row>
    <row r="46" spans="1:13" ht="68.099999999999994" customHeight="1">
      <c r="A46" s="6" t="s">
        <v>794</v>
      </c>
      <c r="B46" s="6" t="s">
        <v>806</v>
      </c>
      <c r="C46" s="6" t="s">
        <v>796</v>
      </c>
      <c r="D46" s="6" t="s">
        <v>817</v>
      </c>
      <c r="E46" s="6" t="s">
        <v>818</v>
      </c>
      <c r="F46" s="6" t="s">
        <v>819</v>
      </c>
      <c r="G46" s="6" t="s">
        <v>800</v>
      </c>
      <c r="H46" s="6" t="s">
        <v>820</v>
      </c>
      <c r="I46" s="6" t="s">
        <v>821</v>
      </c>
      <c r="J46" s="10" t="s">
        <v>803</v>
      </c>
      <c r="K46" s="6" t="s">
        <v>804</v>
      </c>
      <c r="L46" s="6" t="s">
        <v>674</v>
      </c>
      <c r="M46" s="6" t="s">
        <v>805</v>
      </c>
    </row>
    <row r="47" spans="1:13" ht="68.099999999999994" customHeight="1">
      <c r="A47" s="5" t="s">
        <v>794</v>
      </c>
      <c r="B47" s="5" t="s">
        <v>812</v>
      </c>
      <c r="C47" s="5" t="s">
        <v>796</v>
      </c>
      <c r="D47" s="5" t="s">
        <v>822</v>
      </c>
      <c r="E47" s="5" t="s">
        <v>823</v>
      </c>
      <c r="F47" s="5" t="s">
        <v>824</v>
      </c>
      <c r="G47" s="5" t="s">
        <v>800</v>
      </c>
      <c r="H47" s="5" t="s">
        <v>825</v>
      </c>
      <c r="I47" s="5" t="s">
        <v>821</v>
      </c>
      <c r="J47" s="9" t="s">
        <v>803</v>
      </c>
      <c r="K47" s="5" t="s">
        <v>804</v>
      </c>
      <c r="L47" s="5" t="s">
        <v>674</v>
      </c>
      <c r="M47" s="5" t="s">
        <v>805</v>
      </c>
    </row>
    <row r="48" spans="1:13" ht="68.099999999999994" customHeight="1">
      <c r="A48" s="6" t="s">
        <v>794</v>
      </c>
      <c r="B48" s="6" t="s">
        <v>795</v>
      </c>
      <c r="C48" s="6" t="s">
        <v>796</v>
      </c>
      <c r="D48" s="6" t="s">
        <v>826</v>
      </c>
      <c r="E48" s="6" t="s">
        <v>827</v>
      </c>
      <c r="F48" s="6" t="s">
        <v>828</v>
      </c>
      <c r="G48" s="6" t="s">
        <v>800</v>
      </c>
      <c r="H48" s="6" t="s">
        <v>829</v>
      </c>
      <c r="I48" s="6" t="s">
        <v>830</v>
      </c>
      <c r="J48" s="10" t="s">
        <v>803</v>
      </c>
      <c r="K48" s="6" t="s">
        <v>804</v>
      </c>
      <c r="L48" s="6" t="s">
        <v>674</v>
      </c>
      <c r="M48" s="6" t="s">
        <v>805</v>
      </c>
    </row>
    <row r="49" spans="1:13" ht="68.099999999999994" customHeight="1">
      <c r="A49" s="5" t="s">
        <v>794</v>
      </c>
      <c r="B49" s="5" t="s">
        <v>812</v>
      </c>
      <c r="C49" s="5" t="s">
        <v>796</v>
      </c>
      <c r="D49" s="5" t="s">
        <v>831</v>
      </c>
      <c r="E49" s="5" t="s">
        <v>832</v>
      </c>
      <c r="F49" s="5" t="s">
        <v>833</v>
      </c>
      <c r="G49" s="5" t="s">
        <v>800</v>
      </c>
      <c r="H49" s="5" t="s">
        <v>834</v>
      </c>
      <c r="I49" s="5" t="s">
        <v>835</v>
      </c>
      <c r="J49" s="9" t="s">
        <v>803</v>
      </c>
      <c r="K49" s="5" t="s">
        <v>804</v>
      </c>
      <c r="L49" s="5" t="s">
        <v>674</v>
      </c>
      <c r="M49" s="5" t="s">
        <v>805</v>
      </c>
    </row>
    <row r="50" spans="1:13" ht="68.099999999999994" customHeight="1">
      <c r="A50" s="7" t="s">
        <v>794</v>
      </c>
      <c r="B50" s="7" t="s">
        <v>812</v>
      </c>
      <c r="C50" s="7" t="s">
        <v>796</v>
      </c>
      <c r="D50" s="7" t="s">
        <v>836</v>
      </c>
      <c r="E50" s="7" t="s">
        <v>837</v>
      </c>
      <c r="F50" s="7" t="s">
        <v>838</v>
      </c>
      <c r="G50" s="7" t="s">
        <v>800</v>
      </c>
      <c r="H50" s="7" t="s">
        <v>839</v>
      </c>
      <c r="I50" s="7" t="s">
        <v>840</v>
      </c>
      <c r="J50" s="11" t="s">
        <v>803</v>
      </c>
      <c r="K50" s="7" t="s">
        <v>804</v>
      </c>
      <c r="L50" s="7" t="s">
        <v>674</v>
      </c>
      <c r="M50" s="7" t="s">
        <v>805</v>
      </c>
    </row>
  </sheetData>
  <mergeCells count="4">
    <mergeCell ref="A1:M1"/>
    <mergeCell ref="A2:J2"/>
    <mergeCell ref="K2:L2"/>
    <mergeCell ref="A3:M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PNEs</vt:lpstr>
      <vt:lpstr>Indicadores Educacionais</vt:lpstr>
      <vt:lpstr>Financiamento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Renan Birck</cp:lastModifiedBy>
  <dcterms:modified xsi:type="dcterms:W3CDTF">2026-07-15T12:14:28Z</dcterms:modified>
</cp:coreProperties>
</file>